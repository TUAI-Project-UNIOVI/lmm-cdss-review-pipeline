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cod\lmm-cdss-review-pipeline\Abstract-based_filering\"/>
    </mc:Choice>
  </mc:AlternateContent>
  <xr:revisionPtr revIDLastSave="0" documentId="13_ncr:1_{2A68BD43-0FA5-4C08-A5DA-E8D221E39DA6}" xr6:coauthVersionLast="47" xr6:coauthVersionMax="47" xr10:uidLastSave="{00000000-0000-0000-0000-000000000000}"/>
  <bookViews>
    <workbookView xWindow="20370" yWindow="-120" windowWidth="29040" windowHeight="15720" xr2:uid="{00000000-000D-0000-FFFF-FFFF00000000}"/>
  </bookViews>
  <sheets>
    <sheet name="Sheet1" sheetId="1" r:id="rId1"/>
  </sheets>
  <definedNames>
    <definedName name="_xlnm._FilterDatabase" localSheetId="0" hidden="1">Sheet1!$A$2:$Y$178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 i="1" l="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3" i="1"/>
  <c r="C181" i="1" a="1"/>
  <c r="W178" i="1"/>
  <c r="W177" i="1"/>
  <c r="W176" i="1"/>
  <c r="W175" i="1"/>
  <c r="W174" i="1"/>
  <c r="W173" i="1"/>
  <c r="W172" i="1"/>
  <c r="W171" i="1"/>
  <c r="W170" i="1"/>
  <c r="W169" i="1"/>
  <c r="W168" i="1"/>
  <c r="W167" i="1"/>
  <c r="W166" i="1"/>
  <c r="W165" i="1"/>
  <c r="W164" i="1"/>
  <c r="W163" i="1"/>
  <c r="W162" i="1"/>
  <c r="W161" i="1"/>
  <c r="W160" i="1"/>
  <c r="W159" i="1"/>
  <c r="W158" i="1"/>
  <c r="W157" i="1"/>
  <c r="W156" i="1"/>
  <c r="W154" i="1"/>
  <c r="W153" i="1"/>
  <c r="W152" i="1"/>
  <c r="W151" i="1"/>
  <c r="W150" i="1"/>
  <c r="W149"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5" i="1"/>
  <c r="W94" i="1"/>
  <c r="W93" i="1"/>
  <c r="W92" i="1"/>
  <c r="W91" i="1"/>
  <c r="W90" i="1"/>
  <c r="W89" i="1"/>
  <c r="W88" i="1"/>
  <c r="W87" i="1"/>
  <c r="W86" i="1"/>
  <c r="W85" i="1"/>
  <c r="W83" i="1"/>
  <c r="W82" i="1"/>
  <c r="W81" i="1"/>
  <c r="W80" i="1"/>
  <c r="W79" i="1"/>
  <c r="W78" i="1"/>
  <c r="W77" i="1"/>
  <c r="W76" i="1"/>
  <c r="W75" i="1"/>
  <c r="W74" i="1"/>
  <c r="W73" i="1"/>
  <c r="W72" i="1"/>
  <c r="W71" i="1"/>
  <c r="W69" i="1"/>
  <c r="W68" i="1"/>
  <c r="W67" i="1"/>
  <c r="W66" i="1"/>
  <c r="W64" i="1"/>
  <c r="W63" i="1"/>
  <c r="W62" i="1"/>
  <c r="W61" i="1"/>
  <c r="W60" i="1"/>
  <c r="W59" i="1"/>
  <c r="W58" i="1"/>
  <c r="W57" i="1"/>
  <c r="W56" i="1"/>
  <c r="W55" i="1"/>
  <c r="W54" i="1"/>
  <c r="W53" i="1"/>
  <c r="W52" i="1"/>
  <c r="W51" i="1"/>
  <c r="W50" i="1"/>
  <c r="W49" i="1"/>
  <c r="W48" i="1"/>
  <c r="W47" i="1"/>
  <c r="W46" i="1"/>
  <c r="W45" i="1"/>
  <c r="W44" i="1"/>
  <c r="W43" i="1"/>
  <c r="W42" i="1"/>
  <c r="W40" i="1"/>
  <c r="W39" i="1"/>
  <c r="W38" i="1"/>
  <c r="W37" i="1"/>
  <c r="W36" i="1"/>
  <c r="W35" i="1"/>
  <c r="W34" i="1"/>
  <c r="W33" i="1"/>
  <c r="W32" i="1"/>
  <c r="W31" i="1"/>
  <c r="W30" i="1"/>
  <c r="W29" i="1"/>
  <c r="W28" i="1"/>
  <c r="W27" i="1"/>
  <c r="W25" i="1"/>
  <c r="W24" i="1"/>
  <c r="W23" i="1"/>
  <c r="W21" i="1"/>
  <c r="W20" i="1"/>
  <c r="W19" i="1"/>
  <c r="W18" i="1"/>
  <c r="W17" i="1"/>
  <c r="W16" i="1"/>
  <c r="W15" i="1"/>
  <c r="W14" i="1"/>
  <c r="W12" i="1"/>
  <c r="W11" i="1"/>
  <c r="W10" i="1"/>
  <c r="W8" i="1"/>
  <c r="W6" i="1"/>
  <c r="W5" i="1"/>
  <c r="W4" i="1"/>
  <c r="W3" i="1"/>
  <c r="V141" i="1"/>
  <c r="V145" i="1"/>
  <c r="V151" i="1"/>
  <c r="V155" i="1"/>
  <c r="V156" i="1"/>
  <c r="R178" i="1"/>
  <c r="V178" i="1" s="1"/>
  <c r="R177" i="1"/>
  <c r="V177" i="1" s="1"/>
  <c r="R176" i="1"/>
  <c r="V176" i="1" s="1"/>
  <c r="R175" i="1"/>
  <c r="V175" i="1" s="1"/>
  <c r="R174" i="1"/>
  <c r="V174" i="1" s="1"/>
  <c r="R173" i="1"/>
  <c r="V173" i="1" s="1"/>
  <c r="R172" i="1"/>
  <c r="V172" i="1" s="1"/>
  <c r="R171" i="1"/>
  <c r="V171" i="1" s="1"/>
  <c r="R170" i="1"/>
  <c r="V170" i="1" s="1"/>
  <c r="R169" i="1"/>
  <c r="V169" i="1" s="1"/>
  <c r="R168" i="1"/>
  <c r="V168" i="1" s="1"/>
  <c r="R167" i="1"/>
  <c r="V167" i="1" s="1"/>
  <c r="R26" i="1"/>
  <c r="V26" i="1" s="1"/>
  <c r="R166" i="1"/>
  <c r="V166" i="1" s="1"/>
  <c r="R165" i="1"/>
  <c r="V165" i="1" s="1"/>
  <c r="R164" i="1"/>
  <c r="V164" i="1" s="1"/>
  <c r="R163" i="1"/>
  <c r="V163" i="1" s="1"/>
  <c r="R162" i="1"/>
  <c r="V162" i="1" s="1"/>
  <c r="R25" i="1"/>
  <c r="V25" i="1" s="1"/>
  <c r="R161" i="1"/>
  <c r="V161" i="1" s="1"/>
  <c r="R160" i="1"/>
  <c r="V160" i="1" s="1"/>
  <c r="R159" i="1"/>
  <c r="V159" i="1" s="1"/>
  <c r="R24" i="1"/>
  <c r="V24" i="1" s="1"/>
  <c r="R158" i="1"/>
  <c r="V158" i="1" s="1"/>
  <c r="R157" i="1"/>
  <c r="V157" i="1" s="1"/>
  <c r="R154" i="1"/>
  <c r="V154" i="1" s="1"/>
  <c r="R23" i="1"/>
  <c r="V23" i="1" s="1"/>
  <c r="R153" i="1"/>
  <c r="V153" i="1" s="1"/>
  <c r="R152" i="1"/>
  <c r="V152" i="1" s="1"/>
  <c r="R150" i="1"/>
  <c r="V150" i="1" s="1"/>
  <c r="R22" i="1"/>
  <c r="V22" i="1" s="1"/>
  <c r="R149" i="1"/>
  <c r="V149" i="1" s="1"/>
  <c r="R148" i="1"/>
  <c r="V148" i="1" s="1"/>
  <c r="R147" i="1"/>
  <c r="V147" i="1" s="1"/>
  <c r="R146" i="1"/>
  <c r="V146" i="1" s="1"/>
  <c r="R144" i="1"/>
  <c r="V144" i="1" s="1"/>
  <c r="R143" i="1"/>
  <c r="V143" i="1" s="1"/>
  <c r="R21" i="1"/>
  <c r="V21" i="1" s="1"/>
  <c r="R142" i="1"/>
  <c r="V142" i="1" s="1"/>
  <c r="R20" i="1"/>
  <c r="V20" i="1" s="1"/>
  <c r="R140" i="1"/>
  <c r="V140" i="1" s="1"/>
  <c r="R139" i="1"/>
  <c r="V139" i="1" s="1"/>
  <c r="R138" i="1"/>
  <c r="V138" i="1" s="1"/>
  <c r="R137" i="1"/>
  <c r="V137" i="1" s="1"/>
  <c r="R136" i="1"/>
  <c r="V136" i="1" s="1"/>
  <c r="R135" i="1"/>
  <c r="V135" i="1" s="1"/>
  <c r="R19" i="1"/>
  <c r="V19" i="1" s="1"/>
  <c r="R134" i="1"/>
  <c r="V134" i="1" s="1"/>
  <c r="R133" i="1"/>
  <c r="V133" i="1" s="1"/>
  <c r="R132" i="1"/>
  <c r="V132" i="1" s="1"/>
  <c r="R131" i="1"/>
  <c r="V131" i="1" s="1"/>
  <c r="R130" i="1"/>
  <c r="V130" i="1" s="1"/>
  <c r="R129" i="1"/>
  <c r="V129" i="1" s="1"/>
  <c r="R128" i="1"/>
  <c r="V128" i="1" s="1"/>
  <c r="R127" i="1"/>
  <c r="V127" i="1" s="1"/>
  <c r="R18" i="1"/>
  <c r="V18" i="1" s="1"/>
  <c r="R126" i="1"/>
  <c r="V126" i="1" s="1"/>
  <c r="R125" i="1"/>
  <c r="V125" i="1" s="1"/>
  <c r="R124" i="1"/>
  <c r="V124" i="1" s="1"/>
  <c r="R123" i="1"/>
  <c r="V123" i="1" s="1"/>
  <c r="R122" i="1"/>
  <c r="V122" i="1" s="1"/>
  <c r="R121" i="1"/>
  <c r="V121" i="1" s="1"/>
  <c r="R120" i="1"/>
  <c r="V120" i="1" s="1"/>
  <c r="R119" i="1"/>
  <c r="V119" i="1" s="1"/>
  <c r="R17" i="1"/>
  <c r="V17" i="1" s="1"/>
  <c r="R118" i="1"/>
  <c r="V118" i="1" s="1"/>
  <c r="R117" i="1"/>
  <c r="V117" i="1" s="1"/>
  <c r="R116" i="1"/>
  <c r="V116" i="1" s="1"/>
  <c r="R115" i="1"/>
  <c r="V115" i="1" s="1"/>
  <c r="R114" i="1"/>
  <c r="V114" i="1" s="1"/>
  <c r="R16" i="1"/>
  <c r="V16" i="1" s="1"/>
  <c r="R113" i="1"/>
  <c r="V113" i="1" s="1"/>
  <c r="R15" i="1"/>
  <c r="V15" i="1" s="1"/>
  <c r="R112" i="1"/>
  <c r="V112" i="1" s="1"/>
  <c r="R111" i="1"/>
  <c r="V111" i="1" s="1"/>
  <c r="R110" i="1"/>
  <c r="V110" i="1" s="1"/>
  <c r="R109" i="1"/>
  <c r="V109" i="1" s="1"/>
  <c r="R108" i="1"/>
  <c r="V108" i="1" s="1"/>
  <c r="R107" i="1"/>
  <c r="V107" i="1" s="1"/>
  <c r="R14" i="1"/>
  <c r="V14" i="1" s="1"/>
  <c r="R106" i="1"/>
  <c r="V106" i="1" s="1"/>
  <c r="R13" i="1"/>
  <c r="V13" i="1" s="1"/>
  <c r="R105" i="1"/>
  <c r="V105" i="1" s="1"/>
  <c r="R104" i="1"/>
  <c r="V104" i="1" s="1"/>
  <c r="R103" i="1"/>
  <c r="V103" i="1" s="1"/>
  <c r="R102" i="1"/>
  <c r="V102" i="1" s="1"/>
  <c r="R101" i="1"/>
  <c r="V101" i="1" s="1"/>
  <c r="R100" i="1"/>
  <c r="V100" i="1" s="1"/>
  <c r="R99" i="1"/>
  <c r="V99" i="1" s="1"/>
  <c r="R98" i="1"/>
  <c r="V98" i="1" s="1"/>
  <c r="R97" i="1"/>
  <c r="V97" i="1" s="1"/>
  <c r="R96" i="1"/>
  <c r="V96" i="1" s="1"/>
  <c r="R12" i="1"/>
  <c r="V12" i="1" s="1"/>
  <c r="R11" i="1"/>
  <c r="V11" i="1" s="1"/>
  <c r="R95" i="1"/>
  <c r="V95" i="1" s="1"/>
  <c r="R94" i="1"/>
  <c r="V94" i="1" s="1"/>
  <c r="R93" i="1"/>
  <c r="V93" i="1" s="1"/>
  <c r="R10" i="1"/>
  <c r="V10" i="1" s="1"/>
  <c r="R9" i="1"/>
  <c r="V9" i="1" s="1"/>
  <c r="R92" i="1"/>
  <c r="V92" i="1" s="1"/>
  <c r="R91" i="1"/>
  <c r="V91" i="1" s="1"/>
  <c r="R90" i="1"/>
  <c r="V90" i="1" s="1"/>
  <c r="R89" i="1"/>
  <c r="V89" i="1" s="1"/>
  <c r="R88" i="1"/>
  <c r="V88" i="1" s="1"/>
  <c r="R87" i="1"/>
  <c r="V87" i="1" s="1"/>
  <c r="R86" i="1"/>
  <c r="V86" i="1" s="1"/>
  <c r="R85" i="1"/>
  <c r="V85" i="1" s="1"/>
  <c r="R84" i="1"/>
  <c r="V84" i="1" s="1"/>
  <c r="R8" i="1"/>
  <c r="V8" i="1" s="1"/>
  <c r="R83" i="1"/>
  <c r="V83" i="1" s="1"/>
  <c r="R82" i="1"/>
  <c r="V82" i="1" s="1"/>
  <c r="R81" i="1"/>
  <c r="V81" i="1" s="1"/>
  <c r="R80" i="1"/>
  <c r="V80" i="1" s="1"/>
  <c r="R79" i="1"/>
  <c r="V79" i="1" s="1"/>
  <c r="R78" i="1"/>
  <c r="V78" i="1" s="1"/>
  <c r="R77" i="1"/>
  <c r="V77" i="1" s="1"/>
  <c r="R76" i="1"/>
  <c r="V76" i="1" s="1"/>
  <c r="R7" i="1"/>
  <c r="V7" i="1" s="1"/>
  <c r="R75" i="1"/>
  <c r="V75" i="1" s="1"/>
  <c r="R74" i="1"/>
  <c r="V74" i="1" s="1"/>
  <c r="R73" i="1"/>
  <c r="V73" i="1" s="1"/>
  <c r="R72" i="1"/>
  <c r="V72" i="1" s="1"/>
  <c r="R71" i="1"/>
  <c r="V71" i="1" s="1"/>
  <c r="R70" i="1"/>
  <c r="V70" i="1" s="1"/>
  <c r="R6" i="1"/>
  <c r="V6" i="1" s="1"/>
  <c r="R69" i="1"/>
  <c r="V69" i="1" s="1"/>
  <c r="R68" i="1"/>
  <c r="V68" i="1" s="1"/>
  <c r="R67" i="1"/>
  <c r="V67" i="1" s="1"/>
  <c r="R66" i="1"/>
  <c r="V66" i="1" s="1"/>
  <c r="R5" i="1"/>
  <c r="V5" i="1" s="1"/>
  <c r="R65" i="1"/>
  <c r="V65" i="1" s="1"/>
  <c r="R4" i="1"/>
  <c r="V4" i="1" s="1"/>
  <c r="R3" i="1"/>
  <c r="V3" i="1" s="1"/>
  <c r="R64" i="1"/>
  <c r="V64" i="1" s="1"/>
  <c r="R63" i="1"/>
  <c r="V63" i="1" s="1"/>
  <c r="R62" i="1"/>
  <c r="V62" i="1" s="1"/>
  <c r="R61" i="1"/>
  <c r="V61" i="1" s="1"/>
  <c r="R60" i="1"/>
  <c r="V60" i="1" s="1"/>
  <c r="R59" i="1"/>
  <c r="V59" i="1" s="1"/>
  <c r="R58" i="1"/>
  <c r="V58" i="1" s="1"/>
  <c r="R57" i="1"/>
  <c r="V57" i="1" s="1"/>
  <c r="R56" i="1"/>
  <c r="V56" i="1" s="1"/>
  <c r="R55" i="1"/>
  <c r="V55" i="1" s="1"/>
  <c r="R54" i="1"/>
  <c r="V54" i="1" s="1"/>
  <c r="R53" i="1"/>
  <c r="V53" i="1" s="1"/>
  <c r="R52" i="1"/>
  <c r="V52" i="1" s="1"/>
  <c r="R51" i="1"/>
  <c r="V51" i="1" s="1"/>
  <c r="R50" i="1"/>
  <c r="V50" i="1" s="1"/>
  <c r="R49" i="1"/>
  <c r="V49" i="1" s="1"/>
  <c r="R48" i="1"/>
  <c r="V48" i="1" s="1"/>
  <c r="R47" i="1"/>
  <c r="V47" i="1" s="1"/>
  <c r="R46" i="1"/>
  <c r="V46" i="1" s="1"/>
  <c r="R45" i="1"/>
  <c r="V45" i="1" s="1"/>
  <c r="R44" i="1"/>
  <c r="V44" i="1" s="1"/>
  <c r="R43" i="1"/>
  <c r="V43" i="1" s="1"/>
  <c r="R42" i="1"/>
  <c r="V42" i="1" s="1"/>
  <c r="R41" i="1"/>
  <c r="V41" i="1" s="1"/>
  <c r="R40" i="1"/>
  <c r="V40" i="1" s="1"/>
  <c r="R39" i="1"/>
  <c r="V39" i="1" s="1"/>
  <c r="R38" i="1"/>
  <c r="V38" i="1" s="1"/>
  <c r="R37" i="1"/>
  <c r="V37" i="1" s="1"/>
  <c r="R36" i="1"/>
  <c r="V36" i="1" s="1"/>
  <c r="R35" i="1"/>
  <c r="V35" i="1" s="1"/>
  <c r="R34" i="1"/>
  <c r="V34" i="1" s="1"/>
  <c r="R33" i="1"/>
  <c r="V33" i="1" s="1"/>
  <c r="R32" i="1"/>
  <c r="V32" i="1" s="1"/>
  <c r="R31" i="1"/>
  <c r="V31" i="1" s="1"/>
  <c r="R30" i="1"/>
  <c r="V30" i="1" s="1"/>
  <c r="R29" i="1"/>
  <c r="V29" i="1" s="1"/>
  <c r="R28" i="1"/>
  <c r="V28" i="1" s="1"/>
  <c r="R27" i="1"/>
  <c r="V27" i="1" s="1"/>
  <c r="C184" i="1" l="1"/>
  <c r="C182" i="1" a="1"/>
  <c r="C183" i="1" a="1"/>
  <c r="D182"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<sst xmlns="http://schemas.openxmlformats.org/spreadsheetml/2006/main" count="2523" uniqueCount="631">
  <si>
    <t>corpus_id</t>
  </si>
  <si>
    <t>title</t>
  </si>
  <si>
    <t>abstract</t>
  </si>
  <si>
    <t>phase</t>
  </si>
  <si>
    <t>PO1_population_clinician</t>
  </si>
  <si>
    <t>CO2_concept_llm_presence</t>
  </si>
  <si>
    <t>CO3_concept_cdss_function</t>
  </si>
  <si>
    <t>CX4_context_clinical_data</t>
  </si>
  <si>
    <t>OT5_other</t>
  </si>
  <si>
    <t>decision</t>
  </si>
  <si>
    <t>rationale</t>
  </si>
  <si>
    <t>Benchmark evaluation of DeepSeek large language models in clinical decision-making.</t>
  </si>
  <si>
    <t>Evaluation and mitigation of the limitations of large language models in clinical decision-making.</t>
  </si>
  <si>
    <t>Performance of a large language model on the reasoning tasks of a physician.</t>
  </si>
  <si>
    <t>Large language model as clinical decision support system augments medication safety in 16 clinical specialties.</t>
  </si>
  <si>
    <t>Large language models improve clinical decision making of medical students through patient simulation and structured feedback: a randomized controlled trial.</t>
  </si>
  <si>
    <t>Evaluating large language model workflows in clinical decision support for triage and referral and diagnosis.</t>
  </si>
  <si>
    <t>Expert-Guided Large Language Models for Clinical Decision Support in Precision Oncology.</t>
  </si>
  <si>
    <t>Large Language Model Agent for Managing Patients With Suspected Hypertension.</t>
  </si>
  <si>
    <t>Application of Large Language Models in Complex Clinical Cases: Cross-Sectional Evaluation Study.</t>
  </si>
  <si>
    <t>Large language models for clinical decision support in gastroenterology and hepatology.</t>
  </si>
  <si>
    <t>A multimodal LLM-agent framework for personalized clinical decision-making in hepatocellular carcinoma.</t>
  </si>
  <si>
    <t>Clinical decision support for pharmacologic management of treatment-resistant depression with augmented large language models.</t>
  </si>
  <si>
    <t>Integrating large language models in care, research, and education in multiple sclerosis management.</t>
  </si>
  <si>
    <t>Clinical decision support for bipolar depression using large language models.</t>
  </si>
  <si>
    <t>Extracting Clinical Guideline Information Using Two Large Language Models: Evaluation Study.</t>
  </si>
  <si>
    <t>Clinical decision support using large language models in otolaryngology: a systematic review.</t>
  </si>
  <si>
    <t>Large Language Models' Clinical Decision-Making on When to Perform a Kidney Biopsy: Comparative Study.</t>
  </si>
  <si>
    <t>Multi-center benchmarking of large language models for clinical decision support in lung cancer screening.</t>
  </si>
  <si>
    <t>Dedicated AI Expert System vs Generative AI With Large Language Model for Clinical Diagnoses.</t>
  </si>
  <si>
    <t>Evaluating large language and large reasoning models as decision support tools in emergency internal medicine.</t>
  </si>
  <si>
    <t>Automated computation of the HEART score with the GPT-4 large language model.</t>
  </si>
  <si>
    <t>Benchmarking large language model-based agent systems for clinical decision tasks.</t>
  </si>
  <si>
    <t>Large Language Models' Responses to Spinal Cord Injury: A Comparative Study of Performance.</t>
  </si>
  <si>
    <t>Empowering Patients and Clinicians: LLMs in Hypertension Care, A Scoping Review.</t>
  </si>
  <si>
    <t>Evaluation of large language models in patient education and clinical decision support for rotator cuff injury: a two-phase benchmarking study.</t>
  </si>
  <si>
    <t>Performance evaluation of large language models in pediatric nephrology clinical decision support: a comprehensive assessment.</t>
  </si>
  <si>
    <t>Holistic evaluation of large language models for medical tasks with MedHELM.</t>
  </si>
  <si>
    <t>Evaluation of the performance of large language models in clinical decision-making in endodontics.</t>
  </si>
  <si>
    <t>CDR-Agent: Intelligent Selection and Execution of Clinical Decision Rules Using Large Language Model Agents.</t>
  </si>
  <si>
    <t>Performance of Large Language Models on the Acute Coronary Syndrome Guidelines Using Retrieval-Augmented Generation.</t>
  </si>
  <si>
    <t>CPGPrompt: translating clinical guidelines into large language model-executable decision support.</t>
  </si>
  <si>
    <t>Enhancing Large Language Models for Clinical Decision Support by Incorporating Clinical Practice Guidelines.</t>
  </si>
  <si>
    <t>Systematic review: The use of large language models as medical chatbots in digestive diseases.</t>
  </si>
  <si>
    <t>Large language models for ESC guideline interpretation: a targeted review of accuracy and applicability.</t>
  </si>
  <si>
    <t>Real-world feasibility of generative large language models for clinical decision support in benign prostatic hyperplasia.</t>
  </si>
  <si>
    <t>Using large language models as decision support tools in emergency ophthalmology.</t>
  </si>
  <si>
    <t>Implications of integrating large language models into clinical decision making.</t>
  </si>
  <si>
    <t>A Narrative Review on the Application of Large Language Models to Support Cancer Care and Research.</t>
  </si>
  <si>
    <t>Optimizing Order Sets With a Large Language Model-Powered Multiagent System.</t>
  </si>
  <si>
    <t>A Review of Large Language Models in Medical Education, Clinical Decision Support, and Healthcare Administration.</t>
  </si>
  <si>
    <t>Qualitative metrics from the biomedical literature for evaluating large language models in clinical decision-making: a narrative review.</t>
  </si>
  <si>
    <t>Effective prompt design for large language models in clinical practice.</t>
  </si>
  <si>
    <t>A deterministic large language model (LLM) framework for safe, protocol-adherent clinical decision support: application in hemodialysis anemia management (AnemiaCare HDs).</t>
  </si>
  <si>
    <t>Impact of an Evidence-Based Large Language Model (LLM) Diagnostic Decision Support System: A Randomised Controlled Trial.</t>
  </si>
  <si>
    <t>Leveraging Guideline-Based Clinical Decision Support Systems with Large Language Models: A Case Study with Breast Cancer.</t>
  </si>
  <si>
    <t>Evaluating the Reasoning Capabilities of Large Language Models for Medical Coding and Hospital Readmission Risk Stratification: Zero-Shot Prompting Approach.</t>
  </si>
  <si>
    <t>Humans and Large Language Models in Clinical Decision Support: A Study with Medical Calculators.</t>
  </si>
  <si>
    <t>Large Language Models lack essential metacognition for reliable medical reasoning.</t>
  </si>
  <si>
    <t>Large Language Models for Intraoperative Decision Support in Plastic Surgery: A Comparison between ChatGPT-4 and Gemini.</t>
  </si>
  <si>
    <t>Mitigating Cognitive Biases in Clinical Decision-Making Through Multi-Agent Conversations Using Large Language Models: Simulation Study.</t>
  </si>
  <si>
    <t>Large language model non-compliance with FDA guidance for clinical decision support devices.</t>
  </si>
  <si>
    <t>Measured Performance and Healthcare Professional Perception of Large Language Models Used as Clinical Decision Support Systems: A Scoping Review.</t>
  </si>
  <si>
    <t>Diagnostic performance of newly developed large language models in critical illness cases: A comparative study.</t>
  </si>
  <si>
    <t>Integrating LLMs and Knowledge Graphs for Medical AI: Advances, Challenges, and Future Directions.</t>
  </si>
  <si>
    <t>What is the role of large language models in the management of urolithiasis?: a review.</t>
  </si>
  <si>
    <t>Diagnosis and Triage Performance of Contemporary Large Language Models on Short Clinical Vignettes.</t>
  </si>
  <si>
    <t>Large Language Models Are Reshaping Patient Data Management and Clinical Practice in Nuclear Medicine.</t>
  </si>
  <si>
    <t>Clinical decision support of advanced large language models in endodontic disease.</t>
  </si>
  <si>
    <t>Exploring multimodal large language models on transthoracic Echocardiogram (TTE) tasks for cardiovascular decision support.</t>
  </si>
  <si>
    <t>Safety of a large language model-based clinical decision support system in African primary healthcare.</t>
  </si>
  <si>
    <t>Augmenting clinical decision-making with large language models: evaluation across general and specialty tasks.</t>
  </si>
  <si>
    <t>Why do users override alerts? Utilizing large language model to summarize comments and optimize clinical decision support.</t>
  </si>
  <si>
    <t>Multi-model assurance analysis showing large language models are highly vulnerable to adversarial hallucination attacks during clinical decision support.</t>
  </si>
  <si>
    <t>Explainable and evidence-linked recommendations for spine surgery via a retrieval-augmented LLM agent.</t>
  </si>
  <si>
    <t>Large Language Models in Colorectal Cancer Care and Clinical Decision Support: Systematic Review.</t>
  </si>
  <si>
    <t>Enhancing Clinical Decision Support with Adaptive Iterative Self-Query Retrieval for Retrieval-Augmented Large Language Models.</t>
  </si>
  <si>
    <t>Clinical utility of large language models in metastatic prostate cancer: A multicenter expert validation for decision support.</t>
  </si>
  <si>
    <t>Accuracy and consistency of publicly available Large Language Models as clinical decision support tools for the management of colon cancer.</t>
  </si>
  <si>
    <t>Efficacy of Fine-Tuned Large Language Model in CT Protocol Assignment as Clinical Decision-Supporting System.</t>
  </si>
  <si>
    <t>Artificial Intelligence in Triaging Patient Questions: An Evaluation of a Large Language Model for Distal Radius Fractures.</t>
  </si>
  <si>
    <t>Application of large language models in clinical decision-making for dry eye disease.</t>
  </si>
  <si>
    <t>Large language models and conditional rules in clinical decision support systems.</t>
  </si>
  <si>
    <t>Multimodal Knowledge Graph-Guided RAG-LLM for Clinical Decision Support in Pediatric Leukemia.</t>
  </si>
  <si>
    <t>Evaluating large language models on hospital health data for automated emergency triage.</t>
  </si>
  <si>
    <t>Evaluating large language models as clinical laboratory test recommenders in primary and emergency care: a crucial step in clinical decision making.</t>
  </si>
  <si>
    <t>Safety and diagnostic accuracy of large-language model application of PECARN head injury algorithm.</t>
  </si>
  <si>
    <t>ProsthetiX-AI: An LLM-based clinical decision support system for evidence-based prosthetic recommendations.</t>
  </si>
  <si>
    <t>Efficacy and safety of artificial intelligence-based large language models for decision making support in herniology: evaluation by experts and general surgeons.</t>
  </si>
  <si>
    <t>Integrating human expertise &amp; automated methods for a dynamic and multi-parametric evaluation of large language models' feasibility in clinical decision-making.</t>
  </si>
  <si>
    <t>Large language models vs thrombosis experts: a comparative study on patient education and clinical decision-making in venous thromboembolism.</t>
  </si>
  <si>
    <t>Large language model as a clinical decision support tool in the initial management of critically ill children: a pilot evaluation.</t>
  </si>
  <si>
    <t>On the role of the UMLS in supporting diagnosis generation proposed by Large Language Models.</t>
  </si>
  <si>
    <t>Empowering front-line physicians with AI: Evaluating large language models in everyday ENT care.</t>
  </si>
  <si>
    <t>A Comparative Evaluation of Large Language Model Utility in Neuroimaging Clinical Decision Support.</t>
  </si>
  <si>
    <t>Guideline-Integrated Large Language Models Improve Decision Support for Acute Ear, Nose and Throat Emergencies.</t>
  </si>
  <si>
    <t>Performance and improvement strategies for adapting generative large language models for electronic health record applications: A systematic review.</t>
  </si>
  <si>
    <t>Benchmark evaluation of large language models for clinical decision support in headache management.</t>
  </si>
  <si>
    <t>LLMs Can Do Medical Harm: Stress-Testing Clinical Decisions Under Social Pressure.</t>
  </si>
  <si>
    <t>From Guidelines to Code: Formalizing STOPP/START Criteria Using LLMs and RAG for Clinical Decision Support.</t>
  </si>
  <si>
    <t>A Hitchhiker's Guide to Good Prompting Practices for Large Language Models in Radiology.</t>
  </si>
  <si>
    <t>Performance of large language models in urological decision support: a guideline-based comparative evaluation in urolithiasis.</t>
  </si>
  <si>
    <t>Performance of large language models and clinical decision support in perioperative management of oral anticoagulants.</t>
  </si>
  <si>
    <t>Use of Large Language Models on Radiology Reports: A Scoping Review.</t>
  </si>
  <si>
    <t>Building trustworthy large language model-driven generative recommender system for healthcare decision support: A scoping review of corpus sources, customization techniques, and evaluation frameworks.</t>
  </si>
  <si>
    <t>Evaluating large language models for interpreting and applying caries guidelines in clinical decision support.</t>
  </si>
  <si>
    <t>A large language model-based clinical decision support system for syncope recognition in the emergency department: A framework for clinical workflow integration.</t>
  </si>
  <si>
    <t>Cardiology-Chat: A Multi-LLMs Powered System for Cardiac Diagnostic Reasoning and Clinical Support.</t>
  </si>
  <si>
    <t>Evaluating Medium Scale, Open-Source Large Language Models: Towards Decision Support in a Precision Oncology Care Delivery Context.</t>
  </si>
  <si>
    <t>Prompting is All You Need: How to Make LLMs More Helpful for Clinical Decision Support.</t>
  </si>
  <si>
    <t>Integrating rule-based NLP and large language models for statin information extraction from clinical notes.</t>
  </si>
  <si>
    <t>The PIEE Cycle: A Structured Framework for Red Teaming Large Language Models in Clinical Decision-Making.</t>
  </si>
  <si>
    <t>Use of large language models as clinical decision support tools for management pancreatic adenocarcinoma using National Comprehensive Cancer Network guidelines.</t>
  </si>
  <si>
    <t>Simulation-Based Evaluation of a Large Language Model-Enabled Clinical Decision Support Platform in Oncology.</t>
  </si>
  <si>
    <t>Exploring the role of artificial intelligence, large language models: Comparing patient-focused information and clinical decision support capabilities to the gynecologic oncology guidelines.</t>
  </si>
  <si>
    <t>Performances of five large language models in clinical decision-making for internal medicine: A comparative study.</t>
  </si>
  <si>
    <t>Development of retrieval-augmented generation-based large language model for drug-induced liver injury using Livertox data.</t>
  </si>
  <si>
    <t>Evaluation of Six Large Language Models for Clinical Decision Support: Application in Transfusion Decision-making for RhD Blood-type Patients.</t>
  </si>
  <si>
    <t>Effectiveness of various general large language models in clinical consensus and case analysis in dental implantology: a comparative study.</t>
  </si>
  <si>
    <t>A comparison of the performance of Chinese large language models and ChatGPT throughout the entire clinical workflow.</t>
  </si>
  <si>
    <t>From digital assistants to clinical partners: revolutionizing pediatric urology through large language model-powered decision support and patient education.</t>
  </si>
  <si>
    <t>The interaction of structured data using openEHR and large Language models for clinical decision support in prostate cancer.</t>
  </si>
  <si>
    <t>Bias Patterns in the Application of LLMs for Clinical Decision Support: A Comprehensive Study.</t>
  </si>
  <si>
    <t>Comparative Evaluation of Advanced Chunking for Retrieval-Augmented Generation in Large Language Models for Clinical Decision Support.</t>
  </si>
  <si>
    <t>Interpretable depressive symptoms screening via statistical reasoning-augmented large language models using wearable and environmental data.</t>
  </si>
  <si>
    <t>A Comparison of Ten Large Language Models and a Conventional Search Engine for Clinical Decision Support in Anesthesiology: Expert Agreement and Physician Perceptions.</t>
  </si>
  <si>
    <t>Comparison of CT referral justification using clinical decision support and large language models in a large European cohort.</t>
  </si>
  <si>
    <t>Large Language Models in Clinical Decision Support: A Comparative Analysis of Chat-GPT and Breast Radiologists on ACR Appropriateness Criteria.</t>
  </si>
  <si>
    <t>Large Language Model for Postoperative Clinical Decision Support in a Neurosurgery Ward in the Gambia: A Prospective Pilot Feasibility Study.</t>
  </si>
  <si>
    <t>Digitally Assisted Clinical Decision-Making in Traditional Chinese Medicine: Comparative Study of 5 Large Language Models.</t>
  </si>
  <si>
    <t>Evaluation of the Performance of Three Large Language Models in Clinical Decision Support: A Comparative Study Based on Actual Cases.</t>
  </si>
  <si>
    <t>Human-supervised, large language model-based clinical decision support aligned to national newborn protocols in Kenya: a pragmatic, early-stage evaluation.</t>
  </si>
  <si>
    <t>Evaluation of large language models as decision support tools for head and neck cancer management: A blinded multidisciplinary simulation study.</t>
  </si>
  <si>
    <t>Personalized Diabetes Treatment Support Using Large Language Models Fine-Tuned on Electronic Health Records: Development and Evaluation Study.</t>
  </si>
  <si>
    <t>Performance of Large Language Models in Lung Cancer Clinical Decision-Making: A Comparative Analysis Based on DeepSeek, Grok, and GPT.</t>
  </si>
  <si>
    <t>Evaluating the clinical decision-making performance of large language models in clinically oriented thoracic anatomy scenarios: a comparative evaluation study.</t>
  </si>
  <si>
    <t>Large Language Model Automated Extraction of Clinical Signs and Symptoms From Emergency Department Reports for Machine Learning Prediction Models: Development and Validation Study.</t>
  </si>
  <si>
    <t>Artificial intelligence in thoracic surgery consultations: evaluating the concordance between a large language model and expert clinical decisions.</t>
  </si>
  <si>
    <t>Can Humanlike Reasoning Be Replicated in Large Language Models for Clinical Decision-Making?</t>
  </si>
  <si>
    <t>Exploration of the assessment of clinical decision-making capabilities in Clinical Oncology based on generative large language models.</t>
  </si>
  <si>
    <t>Tests of large language models' medical competence and application for clinical decision support of musculoskeletal rehabilitation.</t>
  </si>
  <si>
    <t>Large language models with retrieval-augmented generation enhance expert modelling of Bayesian network for clinical decision support.</t>
  </si>
  <si>
    <t>Large Language Models: Could They Be the Next Generation of Clinical Decision Support Systems in Cardiovascular Diseases?</t>
  </si>
  <si>
    <t>Feasibility of Large Language Model-Based Standardized Virtual Patients to Support Clinical Decision-Making Training in Operative Dentistry: Mixed Methods Study.</t>
  </si>
  <si>
    <t>Emotion-Adaptive Large Language Model-Driven Clinical Decision Support: User Evaluation of the Empathic Clinical Decision Support System Framework for Trust and Explainability.</t>
  </si>
  <si>
    <t>Development and External Validation of a Large Language Model-Based Clinical Decision Support System for Colonoscopy Surveillance Intervals.</t>
  </si>
  <si>
    <t>AI-Powered Clinical Decision Support in Dentistry: Comparative Evaluation of Large Language Models for Oral Medicine and Periodontal Diagnosis.</t>
  </si>
  <si>
    <t>Clinical Decision Support in Retina Using Large Language Models and Vision-Language Models.</t>
  </si>
  <si>
    <t>ZhongdaChat-ED: a medical large language model for personalized erectile dysfunction health consultation and professional clinical decision-making using retrieval-augmented generation.</t>
  </si>
  <si>
    <t>Evaluation of large language models in supporting autoimmune liver disease diagnosis and clinical decision-making: advantages of reasoning-based models.</t>
  </si>
  <si>
    <t>Implicit bias in safety-aligned large language models: A multi-faceted evaluation of clinical decision-making and health equity.</t>
  </si>
  <si>
    <t>Large language models as clinical decision-support tools in multiple sclerosis and neuromyelitis optica spectrum disorders: A comparative study of ChatGPT-4o and neurologists.</t>
  </si>
  <si>
    <t>Using Large Language Models to Automate the Comparison and Integration of Evolving Clinical Practice Guidelines into Clinical Decision Support Systems.</t>
  </si>
  <si>
    <t>Using LLMs to Interpret Arterial Blood Gases: Comparison of a Novel Math Scratchpad with Different Prompting Methods in a Three-Arm Trial.</t>
  </si>
  <si>
    <t>Open-source LLM DeepSeek on a par with proprietary models in clinical decision making.</t>
  </si>
  <si>
    <t>Agentic GPT-5.0 system outperforms standard large language models and human experts in critical care clinical decision-making: a simulation study.</t>
  </si>
  <si>
    <t>Accuracy of large language models in head and neck cancers: a comparative analysis of ChatGPT and Gemini in TNM staging and clinical decision support.</t>
  </si>
  <si>
    <t>St. Gallen International Breast Cancer Consensus-Based Clinical Decision Validation: Concordance Assessment Between Deep Large Language Model Outputs and Global Expert Panel Recommendations.</t>
  </si>
  <si>
    <t>Evaluating the reliability of artificial intelligence in clinical decisions on early maxillary expansion: a comparative study of eight large language models.</t>
  </si>
  <si>
    <t>Commentary on "Real-world feasibility of generative large language models for clinical decision support in benign prostatic hyperplasia".</t>
  </si>
  <si>
    <t>Impact of Large Language Model-assisted Differential Diagnosis on Clinical Decision-making in Dermatology: A Feasibility Study Using ChatGPT-5.</t>
  </si>
  <si>
    <t>Will AI keep you out of trouble? An expert panel review of LLMs for hazardous regional anesthesia consults.</t>
  </si>
  <si>
    <t>Large Language Models in Healthcare: A Meta-Analysis for Clinical Decision-Making</t>
  </si>
  <si>
    <t>Medical Implications of LLM Based Clinical Decision Support Systems in Healthcare</t>
  </si>
  <si>
    <t>Large Language Model Based System for Clinical Decision Support</t>
  </si>
  <si>
    <t>ChatGLM-FGIDs-TCM: A Knowledge Integrated Large Language Model for Clinical Decision Support in Traditional Chinese Medicine</t>
  </si>
  <si>
    <t>ArgMed-Agents: Explainable Clinical Decision Reasoning with LLM Disscusion via Argumentation Schemes</t>
  </si>
  <si>
    <t>An Adaptive Multi-Agent LLM-Based Clinical Decision Support System Integrating Biomedical RAG and Web Intelligence</t>
  </si>
  <si>
    <t>An LLM's Medical Testing Recommendations in a Nigerian Clinic: Potential and Limits of Prompt Engineering for Clinical Decision Support</t>
  </si>
  <si>
    <t>AI on Trial: LLM-as-a-Judge for Private and Reliable Clinical Decision-Making</t>
  </si>
  <si>
    <t>Leveraging LLM-Based Few-Shot Learning for Clinical Decision Support in Alzheimer's Detection</t>
  </si>
  <si>
    <t>When Voice Matters: A Controlled Study of Audio LLM Behavior in Clinical Decision-Making</t>
  </si>
  <si>
    <t>ViTCM-LLM: A Multimodal RAG Framework for Advanced TCM Clinical Decision Support</t>
  </si>
  <si>
    <t>Towards Trustworthy Knowledge Extension in Clinical Decision Support: An LLM-Agent Approach</t>
  </si>
  <si>
    <t>Large language models-powered clinical decision support: enhancing or replacing human expertise?</t>
  </si>
  <si>
    <t>Prolog-Driven Rule-Based Diagnostics with Large Language Models for Precise Clinical Decision Support</t>
  </si>
  <si>
    <t>How Can We Diagnose and Treat Bias in Large Language Models for Clinical Decision-Making?</t>
  </si>
  <si>
    <t>Retrieval-Augmented Large Language Model for Clinical Decision Support with a Medical Knowledge Graph</t>
  </si>
  <si>
    <t>Human-Algorithmic Interaction Using a Large Language Model-Augmented Artificial Intelligence Clinical Decision Support System</t>
  </si>
  <si>
    <t>Visual-language reasoning large language models for primary care: advancing clinical decision support through multimodal AI</t>
  </si>
  <si>
    <t>Benchmarking Large Language Models for Dental Clinical Decision Support: A BERT Score Analysis of Claude Opus 4.5</t>
  </si>
  <si>
    <t>Brain compensation mechanisms of large language models in clinical decision-making in acupuncture: A fusion study using fNIRS and eye-tracking</t>
  </si>
  <si>
    <t>The Role of Large Language Models in Improving Diagnostic-Related Groups Assignment and Clinical Decision Support in Healthcare Systems: An Example from Radiology and Nuclear Medicine</t>
  </si>
  <si>
    <t>Development of a Large Language Model-based Multi-Agent Clinical Decision Support System for Korean Triage and Acuity Scale (KTAS)-Based Triage and Treatment Planning in Emergency Departments</t>
  </si>
  <si>
    <t>CDAFlow: Enhancing LLM clinical decision-making through agentic workflow</t>
  </si>
  <si>
    <t>Synergistic Joint Model of Knowledge Graph and LLM for Enhancing XAI-Based Clinical Decision Support Systems</t>
  </si>
  <si>
    <t>Large language models (LLMs) are increasingly transforming medical applications. However, proprietary models such as GPT-4o face significant barriers to clinical adoption because they cannot be deployed on site within healthcare institutions, making them noncompliant with stringent privacy regulations. Recent advancements in open-source LLMs such as DeepSeek models offer a promising alternative because they allow efficient fine-tuning on local data in hospitals with advanced information technology infrastructure. Here, to demonstrate the clinical utility of DeepSeek-V3 and DeepSeek-R1, we benchmarked their performance on clinical decision support tasks against proprietary LLMs, including GPT-4o and Gemini-2.0 Flash Thinking Experimental. Using 125 patient cases with sufficient statistical power, covering a broad range of frequent and rare diseases, we found that DeepSeek models perform equally well and in some cases better than proprietary LLMs. Our study demonstrates that open-source LLMs can provide a scalable pathway for secure model training enabling real-world medical applications in accordance with data privacy and healthcare regulations.</t>
  </si>
  <si>
    <t>Clinical decision-making is one of the most impactful parts of a physician's responsibilities and stands to benefit greatly from artificial intelligence solutions and large language models (LLMs) in particular. However, while LLMs have achieved excellent performance on medical licensing exams, these tests fail to assess many skills necessary for deployment in a realistic clinical decision-making environment, including gathering information, adhering to guidelines, and integrating into clinical workflows. Here we have created a curated dataset based on the Medical Information Mart for Intensive Care database spanning 2,400 real patient cases and four common abdominal pathologies as well as a framework to simulate a realistic clinical setting. We show that current state-of-the-art LLMs do not accurately diagnose patients across all pathologies (performing significantly worse than physicians), follow neither diagnostic nor treatment guidelines, and cannot interpret laboratory results, thus posing a serious risk to the health of patients. Furthermore, we move beyond diagnostic accuracy and demonstrate that they cannot be easily integrated into existing workflows because they often fail to follow instructions and are sensitive to both the quantity and order of information. Overall, our analysis reveals that LLMs are currently not ready for autonomous clinical decision-making while providing a dataset and framework to guide future studies.</t>
  </si>
  <si>
    <t>More than 65 years ago, complex clinical diagnostic reasoning cases were introduced as the gold standard for the evaluation of expert medical computing systems, a standard that has held ever since. In this study, we report the results of a physician evaluation of a large language model (LLM) on challenging clinical cases across five experiments with a baseline of hundreds of physicians. We then report a real-world study comparing human expert and artificial intelligence (AI) second opinions in randomly selected patients in the emergency room of a major tertiary academic medical center. In all experiments, the LLM outperformed physician baselines and displayed continued improvement from prior generations of AI clinical decision support. Our study suggests that LLMs have eclipsed most benchmarks of clinical reasoning, motivating the urgent need for prospective trials.</t>
  </si>
  <si>
    <t>Large language models (LLMs) have emerged as tools to support healthcare delivery, from automating tasks to aiding clinical decision-making. This study evaluated LLMs as alternative to rule-based alert systems, focusing on their ability to identify prescribing errors. This was designed as a prospective, cross-over, open-label study involving 91 error scenarios based on 40 clinical vignettes across 16 medical and surgical specialties. We developed and validated five LLM models using a retrieval-augmented generation framework. The best-performing model evaluated three different implementation strategies: LLM-based clinical decision support system (CDSS) alone, pharmacist plus LLM-based CDSS (co-pilot), and pharmacist alone. The co-pilot arm demonstrated the best performance with an accuracy of 61% (precision 0.57, recall 0.61, and F1 0.59). In detecting errors posing serious harm, the co-pilot mode increased accuracy by 1.5-fold over the pharmacist alone. Effective LLM integration for complex tasks like medication chart reviews can enhance healthcare professional performance, improving patient safety.</t>
  </si>
  <si>
    <t>BACKGROUND: Clinical decision-making (CDM) refers to physicians' ability to gather, evaluate, and interpret relevant diagnostic information. An integral component of CDM is the medical history conversation, traditionally practiced on real or simulated patients. In this study, we explored the potential of using Large Language Models (LLM) to simulate patient-doctor interactions and provide structured feedback.
METHODS: We developed AI prompts to simulate patients with different symptoms, engaging in realistic medical history conversations. In our double-blind randomized design, the control group participated in simulated medical history conversations with AI patients (control group), while the intervention group, in addition to simulated conversations, also received AI-generated feedback on their performances (feedback group). We examined the influence of feedback based on their CDM performance, which was evaluated by two raters (ICC = 0.924) using the Clinical Reasoning Indicator - History Taking Inventory (CRI-HTI). The data was analyzed using an ANOVA for repeated measures.
RESULTS: Our final sample included 21 medical students (age&lt;sub&gt;mean&lt;/sub&gt; = 22.10 years, semester&lt;sub&gt;mean&lt;/sub&gt; = 4, 14 females). At baseline, the feedback group (mean = 3.28 ± 0.09 [standard deviation]) and the control group (3.21 ± 0.08) achieved similar CRI-HTI scores, indicating successful randomization. After only four training sessions, the feedback group (3.60 ± 0.13) outperformed the control group (3.02 ± 0.12), F (1,18) = 4.44, p = .049 with a strong effect size, partial η2 = 0.198. Specifically, the feedback group showed improvements in the subdomains of CDM of creating context (p = .046) and securing information (p = .018), while their ability to focus questions did not improve significantly (p = .265).
CONCLUSION: The results suggest that AI-simulated medical history conversations can support CDM training, especially when combined with structured feedback. Such training format may serve as a cost-effective supplement to existing training methods, better preparing students for real medical history conversations.</t>
  </si>
  <si>
    <t>Accurate medical decision-making is critical for both patients and clinicians. Patients often struggle to interpret their symptoms, determine their severity, and select the right specialist. Simultaneously, clinicians face challenges in integrating complex patient data to make timely, accurate diagnoses. Recent advances in large language models (LLMs) offer the potential to bridge this gap by supporting decision-making for both patients and healthcare providers. In this study, we benchmark multiple LLM versions and an LLM-based workflow incorporating retrieval-augmented generation (RAG) on a curated dataset of 2000 medical cases derived from the Medical Information Mart for Intensive Care database. Our findings show that these LLMs are capable of providing personalized insights into likely diagnoses, suggesting appropriate specialists, and assessing urgent care needs. These models may also support clinicians in refining diagnoses and decision-making, offering a promising approach to improving patient outcomes and streamlining healthcare delivery.</t>
  </si>
  <si>
    <t>PURPOSE: Rapidly expanding medical literature challenges oncologists seeking targeted cancer therapies. General-purpose large language models (LLMs) lack domain-specific knowledge, limiting their clinical utility. This study introduces the LLM system Medical Evidence Retrieval and Data Integration for Tailored Healthcare (MEREDITH), designed to support treatment recommendations in precision oncology. Built on Google's Gemini Pro LLM, MEREDITH uses retrieval-augmented generation and chain of thought.
METHODS: We evaluated MEREDITH on 10 publicly available fictional oncology cases with iterative feedback from a molecular tumor board (MTB) at a major German cancer center. Initially limited to PubMed-indexed literature (draft system), MEREDITH was enhanced to incorporate clinical studies on drug response within the specific tumor type, trial databases, drug approval status, and oncologic guidelines. The MTB provided a benchmark with manually curated treatment recommendations and assessed the clinical relevance of LLM-generated options (qualitative assessment). We measured semantic cosine similarity between LLM suggestions and clinician responses (quantitative assessment).
RESULTS: MEREDITH identified a broader range of treatment options (median 4) compared with MTB experts (median 2). These options included therapies on the basis of preclinical data and combination treatments, expanding the treatment possibilities for consideration by the MTB. This broader approach was achieved by incorporating a curated medical data set that contextualized molecular targetability. Mirroring the approach MTB experts use to evaluate MTB cases improved the LLM's ability to generate relevant suggestions. This is supported by high concordance between LLM suggestions and expert recommendations (94.7% for the enhanced system) and a significant increase in semantic similarity from the draft to the enhanced system (from 0.71 to 0.76, P = .01).
CONCLUSION: Expert feedback and domain-specific data augment LLM performance. Future research should investigate responsible LLM integration into real-world clinical workflows.</t>
  </si>
  <si>
    <t>BACKGROUND: The effectiveness of Large Language Model agent frameworks for hypertension screening and personalized health management has not been fully studied. This study aimed to develop and evaluate a Large Language Model-based Agent, called the Cascade Framework, and assess its effectiveness in hypertension education and clinical decision support.
METHODS: The Cascade Framework was developed utilizing the Dify platform, and its performance was tested via a robust 2-phase evaluation protocol from August 2024 to June 2025. The first phase involved systematic performance benchmarking of 6 configurations: 3 foundational Large Language Models (Chat Generative Pretrained Transformer [ChatGPT]-4o, ChatGPT-4oMini, and DeepSeek-V3) and their respective Cascade-enhanced versions. The second phase included an external validation in a cohort of patients with suspected hypertension.
RESULTS: Cascade integration yielded significant performance improvements across all models. For ChatGPT-4o, educational outcomes improved (Accuracy: 3.87→4.10, P=0.02; Comprehensiveness: 4.07→4.32, P=0.16; Credibility: 3.79→4.03, P&amp;lt;0.001; Understandability: 3.90→3.96, P=0.005; Emotional Support: 3.87→4.01, P&amp;lt;0.001). Blood pressure classification accuracy rose from 62.5% to 87.0% (P&amp;lt;0.001) and risk factor stratification from 60.4% to 98.6% (P&amp;lt;0.001). Clinical decision-making improved, with accuracy of 72.0% to 92.5%. A similar trend of performance improvement was observed in the external validation cohort, where the 4o-Cascade model achieved increases in blood pressure classification accuracy (58.9%→95.3%), risk stratification accuracy (71.0%→90.7%), and clinical decision appropriateness (66.4%→92.5%), all with P&amp;lt;0.001 and surpassing the performance of the 3 physicians.
CONCLUSIONS: Cascade Framework can improve the management of hypertension. Its extensible architecture allows integration with existing clinical workflows while providing transparent reasoning pathways.</t>
  </si>
  <si>
    <t>BACKGROUND: Large language models (LLMs) have made significant advancements in natural language processing (NLP) and are gradually showing potential for application in the medical field. However, LLMs still face challenges in medicine.
OBJECTIVE: This study aims to evaluate the efficiency, accuracy, and cost of LLMs in handling complex medical cases and to assess their potential and applicability as tools for clinical decision support.
METHODS: We selected cases from the database of the Department of Cardiothoracic Surgery, the Third Affiliated Hospital of Sun Yat-sen University (2021-2024), and conducted a multidimensional preliminary evaluation of the latest LLMs in clinical decision-making for complex cases. The evaluation included measuring the time taken for the LLMs to generate decision recommendations, Likert scores, and calculating decision costs to assess the execution efficiency, accuracy, and cost-effectiveness of the models.
RESULTS: A total of 80 complex cases were included in this study, and the performance of multiple LLMs in clinical decision-making was evaluated. Experts required 33.60 minutes on average (95% CI 32.57-34.63), far longer than any LLM. GPTo1 (0.71, 95% CI 0.67-0.74), GPT4o (0.88, 95% CI 0.83-0.92), and Deepseek (0.94, 95% CI 0.90-0.96) all finished under a minute without statistical differences. Although Kimi, Gemini, LLaMa3-8B, and LLaMa3-70B took 1.02-3.20 minutes, they were still faster than experts. In terms of decision accuracy, Deepseek-R1 had the highest accuracy (mean Likert score=4.19), with no significant difference compared to GPTo1 (P=.699), and both performed significantly better than GPT4o, Kimi, Gemini, LLaMa3-70B, and LLaMa3-8B (P&lt;.001). Deepseek-R1 and GPTo1 demonstrated the lowest hallucination rates-6/80 (8%) and 5/80 (6%), respectively-significantly outperforming GPT-4o (7/80, 9%), Kimi (10/80, 12%), and the Gemini and LLaMa3 models, which exhibited substantially higher rates ranging from 13/80 (16%) to 25/80 (31%). Regarding decision costs, all LLMs showed significantly lower costs than the Multidisciplinary Team, with open-source models such as Deepseek-R1 offering a zero direct cost advantage.
CONCLUSIONS: GPTo1 and Deepseek-R1 show strong clinical potential, boosting efficiency, maintaining accuracy, and reducing costs. GPT4o and Kimi performed moderately, indicating suitability for broader clinical tasks. Further research is needed to validate LLaMa3 series and Gemini in clinical decision.</t>
  </si>
  <si>
    <t>Clinical decision making in gastroenterology and hepatology has become increasingly complex and challenging for physicians. This growing complexity can be addressed by computational tools that support clinical decisions. Although numerous clinical decision support systems (CDSS) have emerged, they have faced difficulties with real-world performance and generalizability, resulting in limited clinical adoption. Generative artificial intelligence (AI), particularly large language models (LLMs), are introducing new possibilities for CDSS by offering more flexible and adaptable support that better reflects complex clinical scenarios. LLMs can process unstructured text, including patient data and medical guidelines, and integrate various information sources with high accuracy, especially when augmented with retrieval-augmented generation. Thus, LLMs can provide dynamic, context-specific support by generating personalized treatment recommendations, identifying potential complications based on patient history, and enabling natural language interactions with health-care providers. However, important challenges persist, particularly regarding biases, hallucinations, interoperability barriers, and proper training of health-care providers. We examine the parallel evolution of the complexity in clinical management in gastroenterology and hepatology, and the technical developments leading to current generative AI models. We discuss how these advances are converging to create effective CDSS, providing a conceptual basis for further development and clinical adoption of these systems.</t>
  </si>
  <si>
    <t>Hepatocellular carcinoma (HCC) treatment is challenging due to tumor heterogeneity and patient variability. Current guidelines often overlook individual factors, limiting treatment precision. We developed an integrated framework combining radiomics, deep learning, and large language model (LLM)-based decision agents to generate personalized HCC treatment recommendations. A modified GhostNet incorporating dilated convolutions, channel and spatial attention mechanism (CBAM), and residual channel attention (RCA) modules was trained on MRI to predict pathological markers such as microvascular invasion (MVI), capsule presence, and tumor differentiation. A fusion model integrating radiomics and deep learning enhanced prediction accuracy. Six AI agents processed structured multimodal data and generated individualized treatment strategies, which were evaluated by hepatobiliary surgeons. The fusion model significantly improved prediction accuracy, with MVI and capsule presence reaching 0.8902 and 0.8765, respectively. DeepSeek-R1 achieved the highest clinical relevance score, followed by GPT-4 and Med-PaLM 2. This framework demonstrates the feasibility of AI-assisted, patient-specific HCC decision-making, offering a promising direction for precision oncology.</t>
  </si>
  <si>
    <t>BACKGROUND: We evaluated whether a large language model could assist in selecting psychopharmacological treatments for adults with treatment-resistant depression.
METHODS: We generated 20 clinical vignettes reflecting treatment-resistant depression among adults based on distributions drawn from electronic health records. Each vignette was evaluated by 2 expert psychopharmacologists to determine and rank the 5 best next-step pharmacologic interventions, as well as contraindicated or poor next-step treatments. Vignettes were then presented in random order, permuting gender and race, to a large language model (Qwen 2.5:7B), augmented with a synopsis of published treatment guidelines. Model output was compared to expert rankings, as well as to those of a convenience sample of community clinicians and an additional group of expert clinicians.
RESULTS: The augmented model prioritized the expert-designated optimal choice for 114/320 vignettes (35.6 %, 95 % CI 30.6 %-41.0 %; Cohen's kappa = 0.34, 95 % CI 0.28-0.39). There were no vignettes for which any of the model choices were among the poor or contraindicated treatments. Results were not meaningfully different when gender or race of the vignette was permuted to examine risk for bias. A sample of community clinicians identified the optimal treatment choice for 12/91 vignettes (13.2 %, 95 % CI: 7.7-21.6 %; Cohen's kappa = 0.10, 95 % CI 0.03-0.18), while an additional group of expert psychopharmacologists identified optimal treatment for 9/140 (6.4 %, 95 %CI: 3.4-11.8 %; Cohen's kappa = 0.03, 95 % CI 0.01-0.08).
CONCLUSION: An augmented language model demonstrated moderate agreement with expert recommendations and avoided contraindicated treatments, suggesting potential as a tool for supporting complex psychopharmacologic decision-making in treatment-resistant depression.</t>
  </si>
  <si>
    <t>Use of techniques derived from generative artificial intelligence (AI), specifically large language models (LLMs), offer a transformative potential on the management of multiple sclerosis (MS). Recent LLMs have exhibited remarkable skills in producing and understanding human-like texts. The integration of AI in imaging applications and the deployment of foundation models for the classification and prognosis of disease course, including disability progression and even therapy response, have received considerable attention. However, the use of LLMs within the context of MS remains relatively underexplored. LLMs have the potential to support several activities related to MS management. Clinical decision support systems could help selecting proper disease-modifying therapies; AI-based tools could leverage unstructured real-world data for research or virtual tutors may provide adaptive education materials for neurologists and people with MS in the foreseeable future. In this focused review, we explore practical applications of LLMs across the continuum of MS management as an initial scope for future analyses, reflecting on regulatory hurdles and the indispensable role of human supervision.</t>
  </si>
  <si>
    <t>Management of depressive episodes in bipolar disorder remains challenging for clinicians despite the availability of treatment guidelines. In other contexts, large language models have yielded promising results for supporting clinical decisionmaking. We developed 50 sets of clinical vignettes reflecting bipolar depression and presented them to experts in bipolar disorder, who were asked to identify 5 optimal next-step pharmacotherapies and 5 poor or contraindicated choices. The same vignettes were then presented to a large language model (GPT4-turbo; gpt-4-1106-preview), with or without augmentation by prompting with recent bipolar treatment guidelines, and asked to identify the optimal next-step pharmacotherapy. Overlap between model output and gold standard was estimated. The augmented model prioritized the expert-designated optimal choice for 508/1000 vignettes (50.8%, 95% CI 47.7-53.9%; Cohen's kappa = 0.31, 95% CI 0.28-0.35). For 120 vignettes (12.0%), at least one model choice was among the poor or contraindicated treatments. Results were not meaningfully different when gender or race of the vignette was permuted to examine risk for bias. By comparison, an un-augmented model identified the optimal treatment for 234 (23.0%, 95% CI 20.8-26.0%; McNemar's p &lt; 0.001 versus augmented model) of the vignettes. A sample of community clinicians scoring the same vignettes identified the optimal choice for 23.1% (95% CI 15.7-30.5%) of vignettes, on average; McNemar's p &lt; 0.001 versus augmented model. Large language models prompted with evidence-based guidelines represent a promising, scalable strategy for clinical decision support. In addition to prospective studies of efficacy, strategies to avoid clinician overreliance on such models, and address the possibility of bias, will be needed.</t>
  </si>
  <si>
    <t>BACKGROUND: The effective implementation of personalized pharmacogenomics (PGx) requires the integration of released clinical guidelines into decision support systems to facilitate clinical applications. Large language models (LLMs) can be valuable tools for automating information extraction and updates.
OBJECTIVE: This study aimed to assess the effectiveness of repeated cross-comparisons and an agreement-threshold strategy in 2 advanced LLMs as supportive tools for updating information.
METHODS: The study evaluated the performance of 2 LLMs, GPT-4o and Gemini-1.5-Pro, in extracting PGx clinical guidelines and comparing their outputs with expert-annotated evaluations. The 2 LLMs classified 385 PGx clinical guidelines, with each recommendation tested 20 times per model. Accuracy was assessed by comparing the results with manually labeled data. Two prospectively defined strategies were used to identify inconsistent predictions. The first involved repeated cross-comparison, flagging discrepancies between the most frequent classifications from each model. The second used a consistency threshold strategy, which designated predictions appearing in less than 60% of the 40 combined outputs as unstable. Cases flagged by either strategy were subjected to manual review. This study also estimated the overall cost of model use and was conducted between October 1 and November 30, 2024.
RESULTS: GPT-4o and Gemini-1.5-Pro yielded reproducibility rates of 97.8% (7534/7700) and 98.9% (7612/7700), respectively, based on the most frequent classification for each query. Compared with expert labels, GPT-4o achieved 93.5% accuracy (Cohen κ=0.90; P&lt;.001) and Gemini-1.5-Pro 92.7% accuracy (Cohen κ=0.89; P&lt;.001). Both models demonstrated high overall performance, with comparable weighted average F1-scores (GPT-4o: 0.929; Gemini: 0.935). The models generated consistent predictions for 341 of 385 guideline items, reducing the need for manual review by 88.6%. Among these agreed-upon cases, only one (0.3%) diverged from expert labels. Applying a predefined agreement-threshold strategy further reduced the number of priority manual review cases to 2.9% (11/385), although the error rate slightly increased to 0.5% (2/374). The inconsistencies identified through these methods prompted the prioritization of manual review to minimize errors and enhance clinical applicability. The total combined cost of using both LLMs was only US $0.76.
CONCLUSIONS: These findings suggest that using 2 LLMs can effectively streamline PGx guideline integration into clinical decision support systems while maintaining high performance and minimal cost. Although selective manual review remains necessary, this approach offers a practical and scalable solution for PGx guideline classification in clinical workflows.</t>
  </si>
  <si>
    <t>OBJECTIVE: This systematic review evaluated the diagnostic accuracy of large language models (LLMs) in otolaryngology-head and neck surgery clinical decision-making.
DATA SOURCES: PubMed/MEDLINE, Cochrane Library, and Embase databases were searched for studies investigating clinical decision support accuracy of LLMs in otolaryngology.
REVIEW METHODS: Three investigators searched the literature for peer-reviewed studies investigating the application of LLMs as clinical decision support for real clinical cases according to the Preferred Reporting Items for Systematic Reviews and Meta-Analyses (PRISMA) guidelines. The following outcomes were considered: diagnostic accuracy, additional examination and treatment recommendations. Study quality was assessed using the modified Methodological Index for Non-Randomized Studies (MINORS).
RESULTS: Of the 285 eligible publications, 17 met the inclusion criteria, accounting for 734 patients across various otolaryngology subspecialties. ChatGPT-4 was the most evaluated LLM (n = 14/17), followed by Claude-3/3.5 (n = 2/17), and Gemini (n = 2/17). Primary diagnostic accuracy ranged from 45.7 to 80.2% across different LLMs, with Claude often outperforming ChatGPT. LLMs demonstrated lower accuracy in recommending appropriate additional examinations (10-29%) and treatments (16.7-60%), with substantial subspecialty variability. Treatment recommendation accuracy was highest in head and neck oncology (55-60%) and lowest in rhinology (16.7%). There was substantial heterogeneity across studies for the inclusion criteria, information entered in the application programming interface, and the methods of accuracy assessment.
CONCLUSIONS: LLMs demonstrate promising moderate diagnostic accuracy in otolaryngology clinical decision support, with higher performance in providing diagnoses than in suggesting appropriate additional examinations and treatments. Emerging findings support that Claude often outperforms ChatGPT. Methodological standardization is needed for future research.
LEVEL OF EVIDENCE: NA.</t>
  </si>
  <si>
    <t>BACKGROUND: Artificial intelligence (AI) and large language models (LLMs) are increasing in sophistication and are being integrated into many disciplines. The potential for LLMs to augment clinical decision-making is an evolving area of research.
OBJECTIVE: This study compared the responses of over 1000 kidney specialist physicians (nephrologists) with the outputs of commonly used LLMs using a questionnaire determining when a kidney biopsy should be performed.
METHODS: This research group completed a large online questionnaire for nephrologists to determine when a kidney biopsy should be performed. The questionnaire was co-designed with patient input, refined through multiple iterations, and piloted locally before international dissemination. It was the largest international study in the field and demonstrated variation among human clinicians in biopsy propensity relating to human factors such as sex and age, as well as systemic factors such as country, job seniority, and technical proficiency. The same questions were put to both human doctors and LLMs in an identical order in a single session. Eight commonly used LLMs were interrogated: ChatGPT-3.5, Mistral Hugging Face, Perplexity, Microsoft Copilot, Llama 2, GPT-4, MedLM, and Claude 3. The most common response given by clinicians (human mode) for each question was taken as the baseline for comparison. Questionnaire responses on the indications and contraindications for biopsy generated a score (0-44) reflecting biopsy propensity, in which a higher score was used as a surrogate marker for an increased tolerance of potential associated risks.
RESULTS: The ability of LLMs to reproduce human expert consensus varied widely with some models demonstrating a balanced approach to risk in a similar manner to humans, while other models reported outputs at either end of the spectrum for risk tolerance. In terms of agreement with the human mode, ChatGPT-3.5 and GPT-4 (OpenAI) had the highest levels of alignment, agreeing with the human mode on 6 out of 11 questions. The total biopsy propensity score generated from the human mode was 23 out of 44. Both OpenAI models produced similar propensity scores between 22 and 24. However, Llama 2 and MS Copilot also scored within this range but with poorer response alignment to the human consensus at only 2 out of 11 questions. The most risk-averse model in this study was MedLM, with a propensity score of 11, and the least risk-averse model was Claude 3, with a score of 34.
CONCLUSIONS: The outputs of LLMs demonstrated a modest ability to replicate human clinical decision-making in this study; however, performance varied widely between LLM models. Questions with more uniform human responses produced LLM outputs with higher alignment, whereas questions with lower human consensus showed poorer output alignment. This may limit the practical use of LLMs in real-world clinical practice.</t>
  </si>
  <si>
    <t>Large language models (LLMs) are increasingly explored for clinical applications, but their ability to generate management recommendations for lung cancer screening remains uncertain. In this cross-sectional, multi-center study, 148 anonymized low-dose computed tomography (CT) reports from three healthcare institutions are used to assess the readability, accuracy, and consistency of four widely adopted models (GPT-3.5, GPT-4, Claude 3 Sonnet, and Claude 3 Opus). Among them, Claude 3 Opus produces the most readable recommendations, while GPT-4 achieves the highest clinical accuracy. Importantly, performance dose not differ significantly across institutions, underscoring the robustness of these models to variations in reporting templates and their utility in diverse healthcare settings. In an exploratory analysis, two state-of-the-art models, proprietary GPT-4o and its open-source counterpart DeepSeek-R1, show comparable performance to GPT-4, outperforming GPT-3.5. These findings highlight the potential role of LLMs to enhance clinical decision support in lung cancer screening across diverse healthcare settings.</t>
  </si>
  <si>
    <t>IMPORTANCE: Large language models (LLMs) have not yet been compared with traditional diagnostic decision support systems (DDSSs) on unpublished clinical cases.
OBJECTIVE: To compare the performance of 2 widely used LLMs (ChatGPT, version 4 [hereafter, LLM1] and Gemini, version 1.5 [hereafter, LLM2]) with a DDSS (DXplain [hereafter, DDSS]) on 36 unpublished general medicine cases.
DESIGN, SETTING, AND PARTICIPANTS: This diagnostic study, conducted from October 6, 2023, to November 22, 2024, looked for the presence of the known case diagnosis in the differential diagnoses of the LLMs and DDSS after data from previously unpublished clinical cases from 3 academic medical centers were entered. The systems' performance was assessed both with and without laboratory test data. Each case was reviewed by 3 physicians blinded to the case diagnosis. Physicians identified all clinical findings as well as the subset deemed relevant to making the diagnosis for mapping to the DDSS's controlled vocabulary. Two other physicians, also blinded to the diagnoses, entered the data from these cases into the DDSS, LLM1, and LLM2.
EXPOSURES: All cases were entered into each LLM twice, with and without laboratory test results. For the DDSS, each case was entered 4 times: for all findings and for findings relevant to the diagnosis, each with and without laboratory test results. The top 25 diagnoses in each resulting differential diagnosis were reviewed.
MAIN OUTCOMES AND MEASURES: Presence or absence of the case diagnosis in the system's differential diagnosis and, when present, in which quintile it appeared in the top 25 diagnoses.
RESULTS: Among 36 patient cases of various races and ethnicities, genders, and ages (mean [SD] age, 51.4 [16.4] years), in the version with all findings but no laboratory test results, the DDSS listed the case diagnosis in its differential diagnosis more often (56% [20 of 36]) than LLM1 (42% [15 of 36]) and LLM2 (39% [14 of 36]), although this difference did not reach statistical significance (DDSS vs LLMI, P = .09; DDSS vs LLM2, P = .08). All 3 systems listed the case diagnosis in most cases if laboratory test results were included (all findings DDSS, 72% [26 of 36]; LLM1, 64% [23 of 36]; and LLM2, 58% [21 of 36]).
CONCLUSIONS AND RELEVANCE: In this diagnostic study comparing the performance of a traditional DDSS and current LLMs on unpublished clinical cases, in most cases, every system listed the case diagnosis in their top 25 diagnoses if laboratory test results were included. A hybrid approach that combines the parsing and expository linguistic capabilities of LLMs with the deterministic and explanatory capabilities of traditional DDSSs may produce synergistic benefits.</t>
  </si>
  <si>
    <t>BACKGROUND: Large Language Models (LLMs) hold promise for clinical decision support, but their real-world performance varies. We compared three leading models (OpenAI's "o1" Large Reasoning Model (LRM), Anthropic's Claude-3.5-Sonnet, and Meta's Llama-3.2-70B) to human experts in an emergency internal medicine setting.
METHODS: We conducted a prospective comparative study on 73 anonymized patient cases from the Emergency Internal Medicine ward of the University Hospital Split, Croatia (June-September 2024). Two independent internal medicine specialists, blinded to model identity, graded the LLM-generated reports in two steps: (1) they evaluated the relevance of recommended diagnostic tests based on the patient's signs, symptoms, and medical history; (2) after reviewing the actual diagnostic test results, they assessed each model's final diagnosis, therapy plan, and follow-up recommendations. The same evaluative framework was applied to human-authored reports. Likert scales (1-4 or 1-3) were used, and statistical comparisons included the Friedman and Wilcoxon signed-rank tests.
RESULTS: The o1 model achieved a mean final rating (3.63) statistically indistinguishable from human physicians (3.67; p = 0.62). Claude-3.5-Sonnet (3.38) and Llama-3.2-70B (3.23) scored significantly lower (p &lt; 0.01 vs. o1), largely due to errors in therapy planning and non-medication recommendations. Despite this gap, all three models demonstrated ≥90 % accuracy in final diagnoses and patient admission decisions. The o1 model correctly classified all abnormal lab values (100 %), while Claude-3.5-Sonnet and Llama-3.2-70B showed minor errors (99.5 % and 99 % accuracy, respectively).
CONCLUSIONS: When evaluated on real-world emergency cases, an advanced LLM with enhanced reasoning (o1) can match expert-level clinical performance, underscoring its potential utility as a decision-support tool.</t>
  </si>
  <si>
    <t>BACKGROUND: Automated computation of the HEART score has the potential to facilitate clinical decision support and safety interventions. The goal of this study was to assess the performance of the GPT-4 large language model (LLM) in computation of the HEART score and prediction of 60-day major adverse cardiac events (MACE).
METHODS: In this retrospective cohort study from February 2022 to September 2023, patients admitted to a chest pain observation unit were identified. HEART scores were calculated by a physician assistant or nurse practitioner (APP) as part of routine care. Separately, the LLM calculated a HEART score utilizing an iteratively developed prompt from deidentified chart documentation. Any cases of disagreement with the APP score were adjudicated by an emergency physician blinded to clinical outcomes. Agreement on HEART score was assessed, and 60-day MACE was obtained via linkage to an institutional registry.
RESULTS: Of the 601 participants, 50 were utilized for prompt development. Among the remaining 551 participants, agreement by Cohen's weighted kappa between the LLM and adjudicators was 0.67 which was similar to the agreement of 0.66 between the APP and adjudicators. The LLM predicted a higher average HEART score (mean 5.06) compared to the adjudicators (mean 4.69) or APP (mean 4.23). No significant difference was seen in diagnostic performance for 60-day MACE by DeLong pairwise comparison (all p &gt; .05).
CONCLUSIONS: Automated risk score computation with language models has the potential to power interventions such as clinical decision support but has systematic differences from physician judgment. Prospective investigation is needed.</t>
  </si>
  <si>
    <t>Agentic artificial intelligence (AI) systems, designed to autonomously reason, plan, and invoke tools, have shown promise in healthcare, yet systematic benchmarking of their real-world performance remains limited. In this study, we evaluate two such systems: the open-source OpenManus, built on Meta's Llama-4 and extended with medically customized agents; and Manus, a proprietary agent system employing a multistep planner-executor-verifier architecture. Both systems were assessed across three benchmark families: AgentClinic, a stepwise dialog-based diagnostic simulation; MedAgentsBench, a knowledge-intensive medical QA dataset; and Humanity's Last Exam (HLE), a suite of challenging text-only and multimodal questions. Despite access to advanced tools (e.g., web browsing, code development and execution, and text file editing) agent systems yielded only modest accuracy gains over baseline LLMs, reaching 60.3% and 28.0% in AgentClinic MedQA and MIMIC, 30.3% on MedAgentsBench, and 8.6% on HLE text. Multimodal accuracy remained low (15.5% on multimodal HLE, 29.2% on AgentClinic NEJM), while resource demands increased substantially, with &gt;10× token usage and &gt;2× latency. Although 89.9% of hallucinations were filtered by in-agent safeguards, hallucinations remained prevalent. These findings reveal that current agentic designs offer modest performance benefits at significant computational and workflow cost, underscoring the need for more accurate, efficient, and clinically viable agent systems.</t>
  </si>
  <si>
    <t>With the increasing application of large language models (LLMs) in the medical field, their potential in patient education and clinical decision support is becoming increasingly prominent. Given the complex pathogenesis, diverse treatment options, and lengthy rehabilitation periods of spinal cord injury (SCI), patients are increasingly turning to advanced online resources to obtain relevant medical information. This study analyzed responses from four LLMs-ChatGPT-4o, Claude-3.5 sonnet, Gemini-1.5 Pro, and Llama-3.1-to 37 SCI-related questions spanning pathogenesis, risk factors, clinical features, diagnostics, treatments, and prognosis. Quality and readability were assessed using the Ensuring Quality Information for Patients (EQIP) tool and Flesch-Kincaid metrics, respectively. Accuracy was independently scored by three senior spine surgeons using consensus scoring. Performance varied among the models. Gemini ranked highest in EQIP scores, suggesting superior information quality. Although the readability of all four LLMs was generally low, requiring a college-level reading comprehension ability, they were all able to effectively simplify complex content. Notably, ChatGPT led in accuracy, achieving significantly higher "Good" ratings (83.8%) compared to Claude (78.4%), Gemini (54.1%), and Llama (62.2%). Comprehensiveness scores were high across all models. Furthermore, the LLMs exhibited strong self-correction abilities. After being prompted for revision, the accuracy of ChatGPT and Claude's responses improved by 100% and 50%, respectively; both Gemini and Llama improved by 67%. This study represents the first systematic comparison of leading LLMs in the context of SCI. While Gemini excelled in response quality, ChatGPT provided the most accurate and comprehensive responses.</t>
  </si>
  <si>
    <t>Large language models have emerged as potential tools to support hypertension care, including diagnosis, treatment decision-making, and patient education. However, evidence regarding their validity, performance, and clinical applicability remains limited. The objective is to map current applications of large language models in hypertension care, with emphasis on model optimization strategies, evaluation approaches, and reported limitations. We conducted a Preferred Reporting Items for Systematic Reviews and Meta-Analyses extension for Scoping Reviews-compliant scoping review of primary studies published between 2023 and 2025 evaluating large language models in hypertension. Thirty-three studies were included. Data were charted on clinical use cases, model optimization techniques, evaluation metrics, data sets, and limitations. Applications were categorized into clinical decision support systems, patient education, medical education, research support, and administrative functions. GPT-based models predominated (82%). Model optimization was limited: 89% relied exclusively on prompt engineering. Most applications focused on patient education (52%) and clinical decision support systems (24%). In clinical decision support systems, reported accuracy ranged from 65% to 100%, reaching 87% to 91% for ambulatory blood pressure monitoring interpretation. Patient education applications showed accuracy between 80% and 90%, but frequent issues included excessive language complexity and occasional unsafe outputs. Across domains, evaluation methods were heterogeneous, reproducibility was inconsistently assessed, and safety concerns, including hallucinations and outdated knowledge, were commonly reported. Current evidence suggests that large language models may support selected tasks in hypertension care; however, their clinical reliability remains uncertain. The limited methodological rigor, minimal use of advanced optimization techniques, and narrow scope of evaluated applications preclude conclusions regarding routine clinical use. Further rigorously designed studies are required before broader implementation can be considered.</t>
  </si>
  <si>
    <t>OBJECTIVE: This study evaluates the accuracy of ChatGPT-4o, ChatGPT-o1, Gemini, and ERNIE Bot in answering rotator cuff injury questions and responding to patients. Results show Gemini excels in accuracy, while ChatGPT-4o performs better in patient interactions.
METHODS: Phase 1: Four LLM chatbots answered physician test questions on rotator cuff injuries, interacting with patients and students. Their performance was assessed for accuracy and clarity across 108 multiple-choice and 20 clinical questions. Phase 2: Twenty patients questioned the top two chatbots (ChatGPT-4o, Gemini), with responses rated for satisfaction and readability. Three physicians evaluated accuracy, usefulness, safety, and completeness using a 5-point Likert scale. Statistical analyses and plotting used IBM SPSS 29.0.1.0 and Prism 10; Friedman test compared evaluation and readability scores among chatbots with Bonferroni-corrected pairwise comparisons, Mann-Whitney U test compared ChatGPT-4o versus Gemini; statistical significance at p &lt; 0.05.
RESULTS: Gemini achieved the highest average accuracy. In the second part, Gemini showed the highest proficiency in answering rotator cuff injury-related queries (accuracy: 4.70; completeness: 4.72; readability: 4.70; usefulness: 4.61; safety: 4.70, post hoc Dunnett test, p &lt; 0.05). Additionally, 20 rotator cuff injury patients questioned the top two models from Phase 1 (ChatGPT-4o and Gemini). ChatGPT-4o had the highest reading difficulty score (14.22, post hoc Dunnett test, p &lt; 0.05), suggesting a middle school reading level or above. Statistical analysis showed significant differences in patient satisfaction (4.52 vs. 3.76, p &lt; 0.001) and readability (4.35 vs. 4.23). Orthopedic surgeons rated ChatGPT-4o higher in accuracy, completeness, readability, usefulness, and safety (all p &lt; 0.05), outperforming Gemini in all aspects.
CONCLUSION: The study found that LLMs, particularly ChatGPT-4o and Gemini, excelled in understanding rotator cuff injury-related knowledge and responding to patients, showing strong potential for further development.</t>
  </si>
  <si>
    <t>BACKGROUND: Large language models (LLMs) have emerged as potential tools in health care following advancements in artificial intelligence. Despite promising applications across multiple medical specialties, limited research exists regarding LLM implementation in pediatric nephrology. This study evaluates the performance of contemporary LLMs in supporting clinical decision-making processes for practicing pediatric nephrologists.
METHODS: Ten comprehensive clinical cases covering various aspects of pediatric nephrology were designed and validated by experts based on international guidelines. Each case comprised questions addressing diagnosis, biological/imaging explorations, treatments, and logic. Ten LLMs were assessed, including generalist models (Claude, ChatGPT, Gemini, DeepSeek, Mistral, Copilot, Perplexity, Phi 4) and a specialized model (Phi 4 Nomic) fine-tuned using retrieval-augmented generation with validated pediatric nephrology materials. Performance was evaluated based on accuracy, personalization, internal contradictions, hallucinations, and potentially dangerous decisions.
RESULTS: Overall accuracy ranged from 50.8% (Gemini) to 86.9% (Claude), with a mean of 66.24%. Claude significantly outperformed other models (p = 0.01). Personalization scores varied between 50% (ChatGPT) and 85% (Claude). All models exhibited hallucinations (2-8 occurrences) and potentially life-threatening decisions (0-2 occurrences). Domain-specific fine-tuning improved performance across all clinical criteria without enhancing reasoning capabilities. Performance variability was minimal, with higher performing models demonstrating greater consistency.
CONCLUSIONS: While certain LLMs demonstrate promising accuracy in pediatric nephrology applications, persistent challenges including hallucinations and potentially dangerous recommendations preclude autonomous clinical implementation. LLMs may currently serve supportive roles in repetitive tasks, but they should be used under strict supervision in clinical practice. Future advancements addressing hallucination mitigation and interpretability are necessary before broader clinical integration.</t>
  </si>
  <si>
    <t>While large language models (LLMs) achieve near-perfect scores on medical licensing exams, these evaluations inadequately reflect the complexity and diversity of real-world clinical practice. Here we introduce MedHELM, an extensible evaluation framework with three contributions. First, a clinician-validated taxonomy organizing medical AI applications into five categories that mirror real clinical tasks-clinical decision support (diagnostic decisions, treatment planning), clinical note generation (visit documentation, procedure reports), patient communication (education materials, care instructions), medical research (literature analysis, clinical data analysis) and administration (scheduling, workflow coordination). These encompass 22 subcategories and 121 specific tasks reflecting daily medical practice. Second, a comprehensive benchmark suite of 37 evaluations covering all subcategories. Third, systematic comparison of nine frontier LLMs-Claude 3.5 Sonnet, Claude 3.7 Sonnet, DeepSeek R1, Gemini 1.5 Pro, Gemini 2.0 Flash, GPT-4o, GPT-4o mini, Llama 3.3 and o3-mini-using an automated LLM-jury evaluation method. Our LLM-jury uses multiple AI evaluators to assess model outputs against expert-defined criteria. Advanced reasoning models (DeepSeek R1, o3-mini) demonstrated superior performance with win rates of 66%, although Claude 3.5 Sonnet achieved comparable results at 15% lower computational cost. These results not only highlight current model capabilities but also demonstrate how MedHELM could enable evidence-based selection of medical AI systems for healthcare applications.</t>
  </si>
  <si>
    <t>BACKGROUND: Artificial intelligence (AI) chatbots are excellent at generating language. The growing use of generative AI large language models (LLMs) in healthcare and dentistry, including endodontics, raises questions about their accuracy. The potential of LLMs to assist clinicians' decision-making processes in endodontics is worth evaluating. This study aims to comparatively evaluate the answers provided by Google Bard, ChatGPT-3.5, and ChatGPT-4 to clinically relevant questions from the field of Endodontics.
METHODS: 40 open-ended questions covering different areas of endodontics were prepared and were introduced to Google Bard, ChatGPT-3.5, and ChatGPT-4. Validity of the questions was evaluated using the Lawshe Content Validity Index. Two experienced endodontists, blinded to the chatbots, evaluated the answers using a 3-point Likert scale. All responses deemed to contain factually wrong information were noted and a misinformation rate for each LLM was calculated (number of answers containing wrong information/total number of questions). The One-way analysis of variance and Post Hoc Tukey test were used to analyze the data and significance was considered to be p &lt; 0.05.
RESULTS: ChatGPT-4 demonstrated the highest score and the lowest misinformation rate (P = 0.008) followed by ChatGPT-3.5 and Google Bard respectively. The difference between ChatGPT-4 and Google Bard was statistically significant (P = 0.004).
CONCLUSION: ChatGPT-4 provided more accurate and informative information in endodontics. However, all LLMs produced varying levels of incomplete or incorrect answers.</t>
  </si>
  <si>
    <t>Clinical decision-making is inherently complex and fast-paced, particularly in emergency departments (EDs) where rapid and high-stakes decisions are made. Clinical Decision Rules (CDRs) are standardized evidence-based tools that combine signs, symptoms, and clinical variables into decision trees to make consistent and accurate diagnoses. CDR usage is often hindered by the clinician's cognitive load, limiting their ability to quickly recall and apply the appropriate rules. We introduce CDR-Agent, a novel LLM-based system designed to enhance ED decision-making by autonomously identifying and applying the most appropriate CDRs based on unstructured clinical notes. To validate CDR-Agent, we curated two novel ED datasets: synthetic and CDR-Bench, although CDR-Agent is applicable to non ED clinics. CDR-Agent achieves a 56.3% (synthetic) and 8.7% (CDR-Bench) accuracy gain relative to the standalone LLM baseline in CDR selection, with overall prediction accuracy improvements of 134.0% (synthetic) and 20.4% (CDR-Bench). Moreover, CDR-Agent significantly reduces computational overhead.</t>
  </si>
  <si>
    <t>BACKGROUND: Large language models (LLMs) are increasingly applied in interventional cardiology, but hallucinations limit their clinical utility.
OBJECTIVES: The aim of this study was to assess whether retrieval-augmented generation (RAG), a technique that allows LLMs to access guideline content during response generation, improves accuracy when answering questions on the basis of the guidelines for acute coronary syndromes.
METHODS: The accuracy of ChatGPT-4o, DeepSeek R1, and Med-PaLM 2 was compared using a set of 38 open-ended cardiology guideline-based questions and answers. ChatGPT-4o and DeepSeek R1 were evaluated with and without RAG, while Med-PaLM 2, a medicine-specific LLM, was tested without RAG. Model outputs were compared against guideline recommendations using an artificial intelligence-powered similarity score tool.
RESULTS: DeepSeek R1 with RAG achieved the highest accuracy (94.7%; 95% CI: 82.7%-98.5%), followed by ChatGPT-4o with RAG (92.1%; 95% CI: 79.2%-97.3%) (P = 0.922). ChatGPT-4o without RAG achieved 71.1% accuracy (95% CI: 55.2%-83.0%), which significantly improved with RAG (P = 0.017). Among non-RAG models, DeepSeek R1 demonstrated the highest accuracy (78.9%; 95% CI: 63.7%-88.9%), followed by ChatGPT-4o without RAG (71.1%) (P = 0.083). Med-PaLM 2 had the lowest accuracy (68.4%; 95% CI: 52.5%-80.9%). Spearman correlation analysis revealed a strong correlation between DeepSeek R1 without RAG and Med-PaLM 2 (r = 0.646; 95% CI: 0.411-0.800; P &lt; 0.001), indicating similar response patterns. Scatterplot analysis further revealed that RAG disproportionately improved lower scoring questions in DeepSeek R1 while improving scores more evenly in ChatGPT-4o.
CONCLUSIONS: Embedding guideline content into LLM workflows via RAG can enhance LLM accuracy for clinical applications, particularly in scenarios common to interventional cardiology. These results support the potential for LLMs, when enhanced with domain-specific knowledge, to optimize clinical decision making and increase alignment with guidelines.</t>
  </si>
  <si>
    <t>OBJECTIVE: Clinical practice guidelines (CPGs) provide evidence-based recommendations for patient care; however, integrating them into artificial intelligence (AI) remains challenging. Previous approaches, such as rule-based systems or black-box AI models, face significant limitations, including poor interpretability, inconsistent adherence to guidelines, and narrow domain applicability. To address this, we develop and validate CPGPrompt, an auto-prompting system that converts narrative clinical guidelines into large language models (LLMs).
MATERIALS AND METHODS: Our framework translates CPGs into structured decision trees and utilizes an LLM to dynamically navigate them for patient case evaluation. Synthetic vignettes were generated across 3 domains-headache, lower back pain, and prostate cancer-and distributed into 4 categories to test different decision scenarios. System performance was assessed on both binary specialty referral decisions and fine-grained pathway classification tasks.
RESULTS: The binary specialty referral classification achieved consistently strong performance across all domains (F1: 0.85-1.00), with high recall (1.00 ± 0.00). In contrast, multiclass pathway assignment showed reduced performance, with domain-specific variations: headache (F1: 0.47), lower back pain (F1: 0.72), and prostate cancer (F1: 0.77).
DISCUSSION: Domain-specific performance differences reflected the structure of each guideline. The headache guideline highlighted challenges with negation handling. The lower back pain guideline required temporal reasoning. In contrast, prostate cancer pathways benefited from quantifiable laboratory tests, resulting in more reliable decision-making.
CONCLUSION: CPGPrompt demonstrates generalizability across diverse clinical domains while maintaining high sensitivity for referral decisions. Its transparent, auditable framework enables the systematic identification of failure modes and provides advantages over black-box AI approaches. However, persistent challenges with subjective clinical assessments indicate a need for targeted improvements and greater clinical robustness.</t>
  </si>
  <si>
    <t>Large Language Models (LLMs), enhanced with Clinical Practice Guidelines (CPGs), can significantly improve Clinical Decision Support (CDS). However, approaches for incorporating CPGs into LLMs are not well studied. In this study, we develop three distinct methods for incorporating CPGs into LLMs: Binary Decision Tree (BDT), Program-Aided Graph Construction (PAGC), and Chain-of-Thought-Few-Shot Prompting (CoT-FSP), and focus on CDS for COVID-19 outpatient treatment as the case study. Zero-Shot Prompting (ZSP) is our baseline method. To evaluate the effectiveness of the proposed methods, we create a set of synthetic patient descriptions and conduct both automatic and human evaluation of the responses generated by four LLMs: GPT-4, GPT-3.5 Turbo, LLaMA, and PaLM 2. All four LLMs exhibit improved performance when enhanced with CPGs compared to the baseline ZSP. BDT outperformed both CoT-FSP and PAGC in automatic evaluation. All of the proposed methods demonstrate high performance in human evaluation. LLMs enhanced with CPGs outperform plain LLMs with ZSP in providing accurate recommendations for COVID-19 outpatient treatment, highlighting the potential for broader applications beyond the case study.</t>
  </si>
  <si>
    <t>BACKGROUND: Interest in large language models (LLMs), such as OpenAI's ChatGPT, across multiple specialties has grown as a source of patient-facing medical advice and provider-facing clinical decision support. The accuracy of LLM responses for gastroenterology and hepatology-related questions is unknown.
AIMS: To evaluate the accuracy and potential safety implications for LLMs for the diagnosis, management and treatment of questions related to gastroenterology and hepatology.
METHODS: We conducted a systematic literature search including Cochrane Library, Google Scholar, Ovid Embase, Ovid MEDLINE, PubMed, Scopus and the Web of Science Core Collection to identify relevant articles published from inception until January 28, 2024, using a combination of keywords and controlled vocabulary for LLMs and gastroenterology or hepatology. Accuracy was defined as the percentage of entirely correct answers.
RESULTS: Among the 1671 reports screened, we identified 33 full-text articles on using LLMs in gastroenterology and hepatology and included 18 in the final analysis. The accuracy of question-responding varied across different model versions. For example, accuracy ranged from 6.4% to 45.5% with ChatGPT-3.5 and was between 40% and 91.4% with ChatGPT-4. In addition, the absence of standardised methodology and reporting metrics for studies involving LLMs places all the studies at a high risk of bias and does not allow for the generalisation of single-study results.
CONCLUSIONS: Current general-purpose LLMs have unacceptably low accuracy on clinical gastroenterology and hepatology tasks, which may lead to adverse patient safety events through incorrect information or triage recommendations, which might overburden healthcare systems or delay necessary care.</t>
  </si>
  <si>
    <t>The European Society of Cardiology (ESC) guidelines provide detailed, evidence-based recommendations for managing cardiovascular diseases. However, their complexity and frequent updates can make them challenging to apply consistently in clinical settings. Artificial intelligence (AI), particularly large language models (LLMs), offers a novel solution by assisting in the interpretation and application of these guidelines more effectively. A narrative review was conducted to assess the role of large language models (LLMs) and related artificial intelligence (AI) systems in supporting the interpretation of ESC guidelines. From 102 records screened, seven studies met the inclusion criteria. Clinical Decision Support Systems (CDSSs) built on ESC guidelines demonstrated improvements in diagnostic accuracy and standardization. Comparative studies revealed that large language models (LLMs), including ChatGPT-4, showed high concordance with expert clinical decisions (up to 86% accuracy for acute coronary syndrome-related questions). Emerging tools, such as MedDoc-Bot, have highlighted the feasibility of direct ESC guideline interpretation by LLMs. LLMs show promise in enhancing clinician understanding and application of ESC guidelines. Although performance is encouraging, further validation and thoughtful integration into clinical practice are necessary to maximize their utility and safety.</t>
  </si>
  <si>
    <t>BACKGROUND: Benign prostatic hyperplasia (BPH) is a common condition among middle-aged and elderly men, often accompanied by lower urinary tract symptoms that significantly impact patients' quality of life. It has emerged as a major public health challenge worldwide. In recent years, artificial intelligence (AI), particularly large language models (LLMs), has shown great potential in supporting clinical decision-making. This study aimed to systematically evaluate the level of clinical knowledge mastery demonstrated by mainstream generative LLMs in the context of BPH and to further explore their decision-support capabilities in real-world clinical scenarios.
METHODS: We assessed the clinical knowledge and decision-making capabilities of ChatGPT o1 and DeepSeek R1 in the field of BPH. A set of 30 clinically relevant questions was developed and submitted to both AI models. For comparison, clinical physicians from Chinese medical institutions answered the same questions under closed-book conditions. Additionally, six real-world BPH cases were used to simulate clinical diagnostic and treatment scenarios to further evaluate the performance of the two AI models in clinical decision-making.
RESULTS: In the clinical knowledge assessment, both ChatGPT o1 and DeepSeek R1 outperformed the physician group, with no significant difference between the two models. Subgroup analyses revealed performance differences based on clinical knowledge categories and physician experience levels. DeepSeek R1 and ChatGPT o1 generally outperformed resident physicians and performed comparably to attending physicians. In terms of clinical decision support, DeepSeek R1 outperformed ChatGPT o1 in both accuracy of medical knowledge and logical coherence.
CONCLUSION: Studies have shown that in the domain of clinical knowledge related to BPH, ChatGPT o1 and DeepSeek R1 perform at levels approaching those of attending physicians. Both models demonstrate substantial potential in supporting clinical decision-making, with DeepSeek R1 performing particularly well. Despite existing limitations, the application of AI in healthcare holds considerable promise and is highly anticipated.</t>
  </si>
  <si>
    <t>BACKGROUND: Large language models (LLMs) have shown promise in various medical applications, but their potential as decision support tools in emergency ophthalmology remains unevaluated using real-world cases.
OBJECTIVES: We assessed the performance of state-of-the-art LLMs (GPT-4, GPT-4o, and Llama-3-70b) as decision support tools in emergency ophthalmology compared to human experts.
METHODS: In this prospective comparative study, LLM-generated diagnoses and treatment plans were evaluated against those determined by certified ophthalmologists using 73 anonymized emergency cases from the University Hospital of Split. Two independent expert ophthalmologists graded both LLM and human-generated reports using a 4-point Likert scale.
RESULTS: Human experts achieved a mean score of 3.72 (SD = 0.50), while GPT-4 scored 3.52 (SD = 0.64) and Llama-3-70b scored 3.48 (SD = 0.48). GPT-4o had lower performance with 3.20 (SD = 0.81). Significant differences were found between human and LLM reports (P &lt; 0.001), specifically between human scores and GPT-4o. GPT-4 and Llama-3-70b showed performance comparable to ophthalmologists, with no statistically significant differences.
CONCLUSION: Large language models demonstrated accuracy as decision support tools in emergency ophthalmology, with performance comparable to human experts, suggesting potential for integration into clinical practice.</t>
  </si>
  <si>
    <t>Christof &amp; Armoundas explore how large language models (LLMs) can augment clinician-level clinical reasoning across the three pillars-framing the encounter, diagnostic reasoning, and treatment/management-highlighting gains in information synthesis and pattern recognition while underscoring limits that require continuous human judgment and oversight. They advocate a bias-aware, privacy-preserving, and rigorously validated “human-in-the-loop” deployment that safeguards patient agency and clinical accountability, while integrating LLMs into real-world workflows via clear clinician imperatives.</t>
  </si>
  <si>
    <t>OBJECTIVES: The emergence of large language models has resulted in a significant shift in informatics research and carries promise in clinical cancer care. Here we provide a narrative review of the recent use of large language models (LLMs) to support cancer care, prevention, and research.
METHODS: We performed a search of the Scopus database for studies on the application of bidirectional encoder representations from transformers (BERT) and generative-pretrained transformer (GPT) LLMs in cancer care published between the start of 2021 and the end of 2023. We present salient and impactful papers related to each of these themes.
RESULTS: Studies identified focused on aspects of clinical decision support (CDS), cancer education, and support for research activities. The use of LLMs for CDS primarily focused on aspects of treatment and screening planning, treatment response, and the management of adverse events. Studies using LLMs for cancer education typically focused on question-answering, assessing cancer myths and misconceptions, and text summarization and simplification. Finally, studies using LLMs to support research activities focused on scientific writing and idea generation, cohort identification and extraction, clinical data processing, and NLP-centric tasks.
CONCLUSIONS: The application of LLMs in cancer care has shown promise across a variety of diverse use cases. Future research should utilize quantitative metrics, qualitative insights, and user insights in the development and evaluation of LLM-based cancer care tools. The development of open-source LLMs for use in cancer care research and activities should also be a priority.</t>
  </si>
  <si>
    <t>IMPORTANCE: Optimizing order sets is vital to enhance clinical decision support and improve patient care. Manual review is resource intensive and cannot timely identify potential improvements in order sets.
OBJECTIVE: To develop and evaluate the utility of a large language model (LLM)-powered multiagent system in optimizing order sets.
DESIGN, SETTING, AND PARTICIPANTS: A multiagent system was developed and evaluated between January 1, 2024, and December 31, 2024, which comprised agents for content critique, dynamic search, knowledge retrieval, medication verification, and suggestion summarization. A filter was developed to align suggestion usefulness scores with expert preferences. Experiment 1 evaluated 735 generated suggestions from a multiagent system developed for optimizing order sets, which were assessed by 3 physicians for 9 order sets and by 1 physician for 62 order sets. Experiment 2 implemented an LLM-as-a-judge approach to align generated suggestions with expert ratings and developed a filter to further refine the system's performance. The study was performed at Vanderbilt University Medical Center. A total of 735 suggestions for 71 order sets at VUMC were evaluated by 3 physicians.
MAIN OUTCOMES AND MEASURES: The ratings of accuracy, usefulness, feasibility, and impact; interrater agreement; and alignment against historical ordering data.
RESULTS: In evaluation 1 of experiment 1, the median values for the number of suggestions scoring 4 or higher at the order set level were 5 (IQR, 5-6) for the metrics of accuracy, 2 (IQR, 1-4) for usefulness, 1 (IQR, 0-3) for feasibility, and 1 (IQR, 0-2) for impact. Of 96 suggestions, 44 (46%; 95% CI, 36%-56%) aligned with historical ordering patterns. In evaluation 2 of experiment 1, 639 suggestions were generated for 62 order sets; 52 order sets had at least 1 useful suggestion, with a median of 2 (IQR, 1-3) useful suggestions. Overall, 122 suggestions (19%; 95% CI, 16%-22%) were rated as useful. After expert alignment, Cohen κ improved from 0.06 to 0.41. Filtering using the aligned scores reduced total suggestions by 29% while retaining 92% of useful suggestions.
CONCLUSIONS AND RELEVANCE: In this cohort study of an LLM-powered multiagent system for optimizing order sets, leveraging LLMs and multiagent systems provided a scalable approach. Alignment with a small set of expert ratings significantly enhanced the LLM evaluation. Future research could refine reasoning capabilities and integrate useful suggestions into electronic health records, while engaging end-users as artificial intelligence-supported reviewers.</t>
  </si>
  <si>
    <t>Background/Objectives: Large language models (LLMs) have shown significant potential to transform various aspects of healthcare. This review aims to explore the current applications, challenges, and future prospects of LLMs in medical education, clinical decision support, and healthcare administration. Methods: A comprehensive literature review was conducted, examining the applications of LLMs across the three key domains. The analysis included their performance, challenges, and advancements, with a focus on techniques like retrieval-augmented generation (RAG). Results: In medical education, LLMs show promise as virtual patients, personalized tutors, and tools for generating study materials. Some models have outperformed junior trainees in specific medical knowledge assessments. Concerning clinical decision support, LLMs exhibit potential in diagnostic assistance, treatment recommendations, and medical knowledge retrieval, though performance varies across specialties and tasks. In healthcare administration, LLMs effectively automate tasks like clinical note summarization, data extraction, and report generation, potentially reducing administrative burdens on healthcare professionals. Despite their promise, challenges persist, including hallucination mitigation, addressing biases, and ensuring patient privacy and data security. Conclusions: LLMs have transformative potential in medicine but require careful integration into healthcare settings. Ethical considerations, regulatory challenges, and interdisciplinary collaboration between AI developers and healthcare professionals are essential. Future advancements in LLM performance and reliability through techniques such as RAG, fine-tuning, and reinforcement learning will be critical to ensuring patient safety and improving healthcare delivery.</t>
  </si>
  <si>
    <t>BACKGROUND: The large language models (LLMs), most notably ChatGPT, released since November 30, 2022, have prompted shifting attention to their use in medicine, particularly for supporting clinical decision-making. However, there is little consensus in the medical community on how LLM performance in clinical contexts should be evaluated.
METHODS: We performed a literature review of PubMed to identify publications between December 1, 2022, and April 1, 2024, that discussed assessments of LLM-generated diagnoses or treatment plans.
RESULTS: We selected 108 relevant articles from PubMed for analysis. The most frequently used LLMs were GPT-3.5, GPT-4, Bard, LLaMa/Alpaca-based models, and Bing Chat. The five most frequently used criteria for scoring LLM outputs were "accuracy", "completeness", "appropriateness", "insight", and "consistency".
CONCLUSIONS: The most frequently used criteria for defining high-quality LLMs have been consistently selected by researchers over the past 1.5 years. We identified a high degree of variation in how studies reported their findings and assessed LLM performance. Standardized reporting of qualitative evaluation metrics that assess the quality of LLM outputs can be developed to facilitate research studies on LLMs in healthcare.</t>
  </si>
  <si>
    <t>BACKGROUND: Large language models (LLMs) have emerged as transformative healthcare tools for clinical documentation, diagnostic reasoning, and medical education. However, effective utilization requires understanding prompt engineering principles-the strategic design of inputs to optimize performance while mitigating hallucination, bias, and outdated information.
METHODS: This narrative review synthesizes evidence from a structured PubMed search through December 2025 using terms including "large language models," "prompt engineering," "clinical decision support," and "retrieval-augmented generation." We included peer-reviewed studies and systematic reviews from 2023 onwards, supplemented by manufacturer benchmarks (acknowledged as non-peer-reviewed), informed by a Belgian Society of Internal Medicine symposium (December 2025).
RESULTS: Effective clinical prompt engineering requires four elements: role definition, context provision, task formulation, and output specification. Structured frameworks-RTF (Role-Task-Format) for routine tasks and BRAIN (Background, Role, Aim, Instructions, Next steps) for complex scenarios-provide systematic approaches. Advanced techniques including chain-of-thought reasoning, few-shot prompting, and retrieval-augmented generation (RAG) enhance performance. RAG improves accuracy by 9.8-16.3% while reducing hallucinations by 11.8-18%. A meta-analysis of 36 studies found pooled LLM accuracy of 72% on medical licensing examinations.Critical limitations persist: studies demonstrate an inverse correlation between model confidence and accuracy, with lower-performing models paradoxically exhibiting higher confidence. Independent clinical validation remains limited.
CONCLUSIONS: LLMs offer efficiency gains while requiring careful implementation. Physicians must develop prompt engineering competency, combining structured frameworks, RAG grounding strategies, and persistent human oversight for safe clinical integration. Prompt engineering literacy represents an essential emerging clinical skill.</t>
  </si>
  <si>
    <t>BACKGROUND: Large language models (LLMs) show promise for clinical decision support but often deviate from evidence-based protocols, raising safety and regulatory concerns. Anemia management in hemodialysis patients requires strict adherence to erythropoiesis-stimulating agent (ESA) and intravenous (IV) iron dosing rules, making it a high-risk use case for uncontrolled model behavior. To address this gap, we developed AnemiaCare HD, a deterministic LLM framework engineered to deliver transparent, reproducible, and protocol-adherent clinical recommendations.
METHODS: AnemiaCare HD was evaluated using 600 simulated hemodialysis anemia scenarios derived from a standardized institutional protocol. The model required six fixed clinical inputs (hemoglobin, hemoglobin rate of change, trend direction, transferrin saturation, ferritin, and current ESA dose). Phase 1 tested a loosely structured prompt. Phase 2 implemented deterministic prompt logic incorporating ESA kinetics, iron dosing rules, mandatory timing safeguards, and embedded safety alerts. Two independent nephrologists assessed protocol adherence.
RESULTS: In Phase 1, only 96 of 300 cases (32%) aligned with protocol recommendations, with common errors in ESA titration, iron dosing, and timing violations. In Phase 1, loosely structured prompting produced variable outputs, with only 96 of 300 simulated cases (32%) fully protocol-adherent and frequent unsafe recommendations. In contrast, deterministic prompting in Phase 2 resulted in 100% adherence across all 300 cases, eliminating protocol deviations, unsafe iron dosing, and timing violations (p &amp;lt; 0.001). In Phase 2, deterministic encoding achieved full protocol adherence (300/300, 100%), eliminating unsafe or premature recommendations (p &amp;lt; 0.001 vs. Phase 1) and consistently generating structured, rationale-based outputs.
CONCLUSION: Deterministic LLM engineering enables safe, fully protocol-compliant clinical decision support in high-risk therapeutic domains. AnemiaCare HD demonstrates the viability of regulatory-aligned, auditable LLM frameworks for clinical use, although real-world integration and prospective validation remain necessary next steps.</t>
  </si>
  <si>
    <t>Generative artificial intelligence (AI) influences clinical decision-making in healthcare by analyzing medical data and proposing personalized treatment options based on patient records. However, generative AI limited due to its inability to provide accurate evidence. Therefore, this study aims that the influence of AI-generated diagnostic suggestions on emergency healthcare providers' diagnostic patterns and decision-making, and evaluates the correlation between clinicians' adoption and diagnosis accuracy.</t>
  </si>
  <si>
    <t>BACKGROUND: Multidisciplinary tumor boards (MTBs) have been established in most countries to allow experts collaboratively determine the best treatment decisions for cancer patients. However, MTBs often face challenges such as case overload, which can compromise MTB decision quality. Clinical decision support systems (CDSSs) have been introduced to assist clinicians in this process. Despite their potential, CDSSs are still underutilized in routine practice. The emergence of large language models (LLMs), such as ChatGPT, offers new opportunities to improve the efficiency and usability of traditional CDSSs.
OBJECTIVES: OncoDoc2 is a guideline-based CDSS developed using a documentary approach and applied to breast cancer management. This study aims to evaluate the potential of LLMs, used as question-answering (QA) systems, to improve the usability of OncoDoc2 across different prompt engineering techniques (PETs).
METHODS: Data extracted from breast cancer patient summaries (BCPSs), together with questions formulated by OncoDoc2, were used to create prompts for various LLMs, and several PETs were designed and tested. Using a sample of 200 randomized BCPSs, LLMs and PETs were initially compared with regard to their responses to OncoDoc2 questions using classic metrics (accuracy, precision, recall, and F1 score). Best performing LLMs and PETs were further assessed by comparing the therapeutic recommendations generated by OncoDoc2, based on LLM inputs, to those provided by MTB clinicians using OncoDoc2. Finally, the best performing method was validated using a new sample of 30 randomized BCPSs.
RESULTS: The combination of Mistral and OpenChat models under the enhanced Zero-Shot PET showed the best performance as a question-answering system. This approach gets a precision of 60.16%, a recall of 54.18%, an F1 score of 56.59%, and an accuracy of 75.57% on the validation set of 30 BCPSs. However, this approach yielded poor results as a CDSS, with only 16.67% of the recommendations generated by OncoDoc2 based on LLM inputs matching the gold standard.
CONCLUSION: All the criteria in the OncoDoc2 decision tree are crucial for capturing the uniqueness of each patient. Any deviation from a criterion alters the recommendations generated. Despite achieving a good accuracy rate of 75.57%, LLMs still face challenges in reliably understanding complex medical contexts and be effective as CDSSs.</t>
  </si>
  <si>
    <t>BACKGROUND: Large language models (LLMs) such as ChatGPT-4, LLaMA-3.1, Gemini-1.5, DeepSeek-R1, and OpenAI-O3 have shown promising potential in health care, particularly for clinical reasoning and decision support. However, their reliability across critical tasks like diagnosis, medical coding, and risk prediction has received mixed reviews, especially in real-world settings without task-specific training.
OBJECTIVE: This study aims to evaluate and compare the zero-shot performance of reasoning and nonreasoning LLMs in three essential clinical tasks: (1) primary diagnosis generation, (2) ICD-9 (International Classification of Diseases, Ninth Revision) medical code prediction, and (3) hospital readmission risk stratification. The goal is to assess whether these models can serve as general-purpose clinical decision support tools and to identify gaps in current capabilities.
METHODS: Using the Medical Information Mart for Intensive Care-IV dataset, we selected a random cohort of 300 hospital discharge summaries. Prompts were engineered to include structured clinical content from 5 note sections: chief complaints, past medical history, surgical history, laboratories, and imaging. Prompts were standardized and zero-shot, with no model fine-tuning or repetition across runs. All model interactions were conducted through publicly available web user interfaces, without using application programming interfaces, to simulate real-world accessibility for nontechnical users. We incorporated rationale elicitation into prompts to evaluate model transparency, especially in reasoning models. Ground-truth labels were derived from the primary diagnosis documented in clinical notes, structured ICD-9 codes from diagnosis, and hospital-recorded readmission frequencies for risk stratification. Performance was measured using F1-scores and correctness percentages, and comparative performance was analyzed statistically.
RESULTS: Among nonreasoning models, LLaMA-3.1 achieved the highest primary diagnosis accuracy (n=255, 85%), followed by ChatGPT-4 (n=254, 84.7%) and Gemini-1.5 (n=237, 79%). For ICD-9 prediction, correctness dropped significantly across all models: LLaMA-3.1 (n=128, 42.6%), ChatGPT-4 (n=122, 40.6%), and Gemini-1.5 (n=44, 14.6%). Hospital readmission risk prediction showed low performance in nonreasoning models: LLaMA-3.1 (n=124, 41.3%), Gemini-1.5 (n=122, 40.7%), and ChatGPT-4 (n=99, 33%). Among reasoning models, OpenAI-O3 outperformed in diagnosis (n=270, 90%) and ICD-9 coding (n=136, 45.3%), while DeepSeek-R1 performed slightly better in the readmission risk prediction (n=218, 72.6% vs O3's n=212, 70.6%). Despite improved explainability, reasoning models generated verbose responses. None of the models met clinical standards across all tasks, and performance in medical coding remained the weakest area across all models.
CONCLUSIONS: Current LLMs exhibit moderate success in zero-shot diagnosis and risk prediction but underperform in ICD-9 code generation, reinforcing findings from prior studies. Reasoning models offer marginally better performance and increased interpretability, with limited reliability. Overall, statistical analysis between the models revealed that OpenAI-O3 outperformed the other models. These results highlight the need for task-specific fine-tuning and need human-in-the-loop checking. Future work will explore fine-tuning, stability through repeated trials, and evaluation on a different subset of deidentified real-world data with a larger sample size.</t>
  </si>
  <si>
    <t>Although large language models (LLMs) have been assessed for general medical knowledge using licensing exams, their ability to support clinical decision-making, such as selecting medical calculators, remains uncertain. We assessed nine LLMs, including open-source, proprietary, and domain-specific models, with 1,009 multiple-choice question-answer pairs across 35 clinical calculators and compared LLMs to humans on a subset of questions. While the highest-performing LLM, OpenAI's o1, provided an answer accuracy of 66.0% (CI: 56.7-75.3%) on the subset of 100 questions, two human annotators nominally outperformed LLMs with an average answer accuracy of 79.5% (CI: 73.5-85.0%). Ultimately, we evaluated medical trainees and LLMs in recommending medical calculators across clinical scenarios like risk stratification and diagnosis. With error analysis showing that the highest -performing LLMs continue to make mistakes in comprehension (49.3% of errors) and calculator knowledge (7.1% of errors), our findings highlight that LLMs are not superior to humans in calculator recommendation.</t>
  </si>
  <si>
    <t>Large Language Models have demonstrated expert-level accuracy on medical board examinations, suggesting potential for clinical decision support systems. However, their metacognitive abilities, crucial for medical decision-making, remain largely unexplored. To address this gap, we developed MetaMedQA, a benchmark incorporating confidence scores and metacognitive tasks into multiple-choice medical questions. We evaluated twelve models on dimensions including confidence-based accuracy, missing answer recall, and unknown recall. Despite high accuracy on multiple-choice questions, our study revealed significant metacognitive deficiencies across all tested models. Models consistently failed to recognize their knowledge limitations and provided confident answers even when correct options were absent. In this work, we show that current models exhibit a critical disconnect between perceived and actual capabilities in medical reasoning, posing significant risks in clinical settings. Our findings emphasize the need for more robust evaluation frameworks that incorporate metacognitive abilities, essential for developing reliable Large Language Model enhanced clinical decision support systems.</t>
  </si>
  <si>
    <t>Background and Objectives: Large language models (LLMs) are emerging as valuable tools in plastic surgery, potentially reducing surgeons' cognitive loads and improving patients' outcomes. This study aimed to assess and compare the current state of the two most common and readily available LLMs, Open AI's ChatGPT-4 and Google's Gemini Pro (1.0 Pro), in providing intraoperative decision support in plastic and reconstructive surgery procedures. Materials and Methods: We presented each LLM with 32 independent intraoperative scenarios spanning 5 procedures. We utilized a 5-point and a 3-point Likert scale for medical accuracy and relevance, respectively. We determined the readability of the responses using the Flesch-Kincaid Grade Level (FKGL) and Flesch Reading Ease (FRE) score. Additionally, we measured the models' response time. We compared the performance using the Mann-Whitney U test and Student's t-test. Results: ChatGPT-4 significantly outperformed Gemini in providing accurate (3.59 ± 0.84 vs. 3.13 ± 0.83, p-value = 0.022) and relevant (2.28 ± 0.77 vs. 1.88 ± 0.83, p-value = 0.032) responses. Alternatively, Gemini provided more concise and readable responses, with an average FKGL (12.80 ± 1.56) significantly lower than ChatGPT-4's (15.00 ± 1.89) (p &amp;lt; 0.0001). However, there was no difference in the FRE scores (p = 0.174). Moreover, Gemini's average response time was significantly faster (8.15 ± 1.42 s) than ChatGPT'-4's (13.70 ± 2.87 s) (p &amp;lt; 0.0001). Conclusions: Although ChatGPT-4 provided more accurate and relevant responses, both models demonstrated potential as intraoperative tools. Nevertheless, their performance inconsistency across the different procedures underscores the need for further training and optimization to ensure their reliability as intraoperative decision-support tools.</t>
  </si>
  <si>
    <t>BACKGROUND: Cognitive biases in clinical decision-making significantly contribute to errors in diagnosis and suboptimal patient outcomes. Addressing these biases presents a formidable challenge in the medical field.
OBJECTIVE: This study aimed to explore the role of large language models (LLMs) in mitigating these biases through the use of the multi-agent framework. We simulate the clinical decision-making processes through multi-agent conversation and evaluate its efficacy in improving diagnostic accuracy compared with humans.
METHODS: A total of 16 published and unpublished case reports where cognitive biases have resulted in misdiagnoses were identified from the literature. In the multi-agent framework, we leveraged GPT-4 (OpenAI) to facilitate interactions among different simulated agents to replicate clinical team dynamics. Each agent was assigned a distinct role: (1) making the final diagnosis after considering the discussions, (2) acting as a devil's advocate to correct confirmation and anchoring biases, (3) serving as a field expert in the required medical subspecialty, (4) facilitating discussions to mitigate premature closure bias, and (5) recording and summarizing findings. We tested varying combinations of these agents within the framework to determine which configuration yielded the highest rate of correct final diagnoses. Each scenario was repeated 5 times for consistency. The accuracy of the initial diagnoses and the final differential diagnoses were evaluated, and comparisons with human-generated answers were made using the Fisher exact test.
RESULTS: A total of 240 responses were evaluated (3 different multi-agent frameworks). The initial diagnosis had an accuracy of 0% (0/80). However, following multi-agent discussions, the accuracy for the top 2 differential diagnoses increased to 76% (61/80) for the best-performing multi-agent framework (Framework 4-C). This was significantly higher compared with the accuracy achieved by human evaluators (odds ratio 3.49; P=.002).
CONCLUSIONS: The multi-agent framework demonstrated an ability to re-evaluate and correct misconceptions, even in scenarios with misleading initial investigations. In addition, the LLM-driven, multi-agent conversation framework shows promise in enhancing diagnostic accuracy in diagnostically challenging medical scenarios.</t>
  </si>
  <si>
    <t>Large language models (LLMs) show considerable promise for clinical decision support (CDS) but none is currently authorized by the Food and Drug Administration (FDA) as a CDS device. We evaluated whether two popular LLMs could be induced to provide unauthorized, devicelike CDS, in violation of FDA's requirements. We found that LLM output readily produced devicelike decision support across a range of scenarios despite instructions to remain compliant with FDA guidelines.</t>
  </si>
  <si>
    <t>The healthcare sector confronts challenges from overloaded tumor board meetings, reduced discussion durations, and care quality concerns, necessitating innovative solutions. Integrating Clinical Decision Support Systems (CDSSs) has a potential in supporting clinicians to reduce the cancer burden, but CDSSs remain poorly used in clinical practice. The emergence of OpenAI's ChatGPT in 2022 has prompted the evaluation of Large Language Models (LLMs) as potential CDSSs for diagnosis and therapeutic management. We conducted a scoping review to evaluate the utility of LLMs like ChatGPT as CDSSs in several medical specialties, particularly in oncology, and compared users' perception of LLMs with the actually measured performance of these systems.</t>
  </si>
  <si>
    <t>BACKGROUND: Large language models (LLMs) are increasingly used in clinical decision support, and newly developed models have demonstrated promising potential, yet their diagnostic performance for critically ill patients in intensive care unit (ICU) settings remains underexplored. This study evaluated the diagnostic accuracy, differential diagnosis quality, and response quality in critical illness cases of four newly developed LLMs.
METHODS: In this cross-sectional comparative study, four newly developed LLMs-ChatGPT-4o, ChatGPT-o3, DeepSeek-V3, and DeepSeek-R1-were evaluated using 50 critical illness cases in ICU settings from published literature. Diagnostic accuracy and response quality were compared across models.
RESULTS: A total of 50 critical illness cases were included. ChatGPT-o3 achieved the top diagnosis accuracy at 72 % (36/50; 95 % CI 0.600-0.840), followed by DeepSeek-R1 at 68 % (34/50; 95 % CI 0.540-0.800), ChatGPT-4o at 64 % (32/50; 95 % CI 0.500-0.760), and DeepSeek-V3 at 32 % (16/50; 95 % CI 0.200-0.460). ChatGPT-o3, DeepSeek-R1, and ChatGPT-4o all significantly outperformed DeepSeek-V3, with no significant differences among the three. The median differential quality score was 5.0 for ChatGPT-o3 (IQR 5.0-5.0; 95 % CI 5.0-5.0), DeepSeek-R1 (IQR 5.0-5.0; 95 % CI 5.0-5.0), and ChatGPT-4o (IQR 4.0-5.0; 95 % CI 4.5-5.0), and 4.0 for DeepSeek-V3 (IQR 3.0-5.0; 95 % CI 4.0-5.0). ChatGPT-o3 and DeepSeek-R1 scored significantly higher than DeepSeek-V3; ChatGPT-4o showed a non-significant trend toward better performance.All models received high Likert ratings for response completeness, clarity, and usefulness. ChatGPT-o3, DeepSeek-R1, and ChatGPT-4o each showed a trend toward better response quality compared to DeepSeek-V3, although no significant differences were observed among the models.
CONCLUSIONS: The newly developed models, especially the reasoning models, demonstrated strong potential in supporting diagnosis in critical illness cases in ICU settings. With further domain-specific fine-tuning, their diagnostic accuracy could be further enhanced. Notably, the open-source reasoning model DeepSeek-R1 performed competitively, suggesting strong potential for scalable deployment in resource-limited settings.</t>
  </si>
  <si>
    <t>Although large language models (LLMs) have been assessed for general medical knowledge using licensing exams, their ability to support clinical decision-making, such as selecting medical calculators, remains uncertain. We assessed nine LLMs, including open-source, proprietary, and domain-specific models, with 1,009 multiple-choice question-answer pairs across 35 clinical calculators and compared LLMs to humans on a subset of questions. While the highest-performing LLM, OpenAI o1, provided an answer accuracy of 66.0% (CI: 56.7-75.3%) on the subset of 100 questions, two human annotators nominally outperformed LLMs with an average answer accuracy of 79.5% (CI: 73.5-85.0%). Ultimately, we evaluated medical trainees and LLMs in recommending medical calculators across clinical scenarios like risk stratification and diagnosis. With error analysis showing that the highest-performing LLMs continue to make mistakes in comprehension (49.3% of errors) and calculator knowledge (7.1% of errors), our findings highlight that LLMs are not superior to humans in calculator recommendation.</t>
  </si>
  <si>
    <t>This review synthesizes how integrating large language models (LLMs) with knowledge graphs (KGs) advances medical AI across methods, applications, and evaluation. While LLMs excel at natural language understanding and contextual reasoning, KGs provide structured factual knowledge, ensuring reliability in critical domains like healthcare AI. This review explores recent advances, emphasizing how LLM-KG synergy enhances knowledge extraction, clinical decision support, and explainability in medical applications. We analyze integration methodologies across three key frameworks: (a) KG-enhanced LLMs, where KGs refine reasoning during pre-training and inference; (b) LLM-augmented KGs, where LLMs improve KG construction, reasoning, and query resolution; and (c) Synergistic LLM-KG systems, which enable bidirectional knowledge exchange for more robust AI-driven decision-making. While these models offer substantial improvements in medical diagnostics, personalized treatment, and automated knowledge discovery, key challenges remain. Issues such as data heterogeneity, reasoning transparency, computational scalability, and ethical considerations surrounding patient data must be addressed to enable real-world clinical adoption. This review outlines future directions, including cross-domain knowledge integration, neurosymbolic AI frameworks, causal reasoning for explainable predictions, and multi-agent ensemble models for adaptive decision-making. We emphasize that scalability, real-time KG updates, and privacy-preserving mechanisms are vital for responsible, high-impact AI deployment in medicine.</t>
  </si>
  <si>
    <t>This review aimed to investigate the role of large language models (LLMs) in clinical decision support, patient counseling, and patient education in the management of urolithiasis. Eleven eligible studies were assessed following a comprehensive search of the Scopus and Web of Science databases. In the realm of clinical decision support, large language models (LLMs), particularly ChatGPT-4, have shown efficacy in areas such as the diagnosis of urolithiasis and initial treatment planning. An evaluation of the models' adherence to the European Association of Urology guidelines revealed that ChatGPT and Perplexity outperformed Bard. For patient counseling, Bing AI exhibited a robust capacity to deliver resource-based information. The studies have yielded conflicting results regarding ChatGPT versions' ability to empathize. In the context of patient education, models such as Claude-3 and ChatGPT-4 have demonstrated the capability to provide accurate and comprehensible answers to patient questions. However, it was noted that the quality of information is occasionally conveyed using complex language. LLMs have considerable potential as assistive tools in the management of urolithiasis; however, their limitations necessitate expert supervision, especially in complex cases. In the future, it is anticipated that these limitations will be mitigated through improved training and integration of these models into clinical practice. Consequently, LLMs should be employed as auxiliary tools rather than primary instruments in clinical decision-making.</t>
  </si>
  <si>
    <t>General-purpose large language models (LLMs) are increasingly proposed for diagnostic and triage decision support, yet their reliability relative to humans remains unclear. We evaluated eight contemporary LLMs (ChatGPT-4, ChatGPT-o1, DeepSeek-V3, DeepSeek-R1, Gemini-2.0, Copilot, Grok-2, Llama-3.1) on 48 single-turn clinical vignettes spanning four triage levels (Emergent, 1-day, 1-week, Self-care). Models were tested without prompts and with structured prompts comprising exemplar cases. Primary outcomes were diagnostic and triage accuracy. Secondary measures included confusion matrices, over-triage, safety of advice, and the Capability Comparison Score (CCS). Structured prompting improved performance across models: mean diagnostic accuracy increased from 89.84% to 91.67%, and mean triage accuracy increased from 76.82% to 86.20%. The best diagnostic accuracy was 93.75% (ChatGPT-o1 and DeepSeek-R1; Grok-2 matched this when prompted). Prompting shifted models toward safety: safety of advice rose from 89.06% to 94.53%, accompanied by higher over-triage (from 53.15% to 65.62%). CCS values were numerically lower than accuracy but preserved rankings and conclusions (diagnosis CCS: from 49.54 to 50.46; triage CCS: from 47.66 to 52.34). Error analyses showed predominant over-triage, with rarer but clinically important under-triage. On concise, text-only vignettes, the diagnostic accuracy of advanced LLMs was high, in some cases nearing benchmarks set by physicians in prior studies, whereas triage remained a more significant challenge. Structured prompting provided a practical, training-free lever to enhance robustness. Future work should evaluate uncertainty-aware prompting and real-world, multi-turn/multi-modality cases to strengthen clinical reliability.</t>
  </si>
  <si>
    <t>The review synthesizes recent research on large language models (LLMs) in nuclear medicine and theranostics. It explores the potential of LLMs in this specialized field for patient data management, clinical decision support, and education. Key challenges include hallucinations, limited domain knowledge, and privacy concerns. The paper emphasizes the need for validation and domain adaptation to improve the potential of LLMs in these medical domains.</t>
  </si>
  <si>
    <t>BACKGROUND/PURPOSE: Large language models (LLMs) exhibit significant potential for clinical decision support, yet their application in endodontic disease remains underexplored.
MATERIALS AND METHODS: This study assessed the decision-making capabilities of three advanced LLMs (GPT-4o, Claude 3.5, and Grok2) in specialized endodontic contexts. A question bank of 421 multiple-choice questions was constructed across 27 core endodontic topics, including theory, procedures, and 35 complex cases. The three LLMs were tested using standardized prompts, with performance evaluated via topic-stratified accuracy analysis.
RESULTS: Claude 3.5 achieved the highest overall accuracy (73.39 %), followed by Grok2 (66.27 %) and GPT-4o (46.32 %). Grok2 excelled in complex case analysis (69.57 %). The models performed strongly in theoretical domains (e.g., clinical examination, structural function, pharmacology) but showed limitations in complex scenarios and procedural techniques.
CONCLUSION: LLMs hold promise as endodontic decision support tools, though domain-specific refinement is essential for effective clinical application.</t>
  </si>
  <si>
    <t>OBJECTIVE: Multimodal large language models (LLMs) offer new potential for enhancing cardiovascular decision support, particularly in interpreting echocardiographic data. This study systematically evaluates and benchmarks foundation models from diverse domains on echocardiogram-based tasks to assess their effectiveness, limitations and potential in clinical cardiovascular applications.
METHODS: We curated three cardiovascular imaging datasets-EchoNet-Dynamic, TMED2, and an expert-annotated echocardiogram (TTE) dataset-to evaluate performance on four critical tasks: (1) cardiac function evaluation through ejection fraction (EF) prediction, (2) cardiac view classification, (3) aortic stenosis (AS) severity assessment, and (4) cardiovascular disease classification. We evaluated six multimodal LLMs: EchoClip (cardiovascular-specific), BiomedGPT and LLaVA-Med (medical-domain), and MiniCPM-V 2.6, LLaMA-3-Vision-Alpha, and Gemini-1.5 (general-domain). Models were assessed using zero-shot, few-shot, and fine-tuning strategies, where applicable. Performance was measured using mean absolute error (MAE) and root mean squared error (RMSE) for EF prediction, and accuracy, precision, recall, and F1 score for classification tasks.
RESULTS: Domain-specific models such as EchoClip demonstrated the strongest zero-shot performance in EF prediction, achieving an MAE of 10.34. General-domain models showed limited effectiveness without adaptation, with MiniCPM-V 2.6 reporting an MAE of 251.92. Fine-tuning significantly improved outcomes; for example, MiniCPM-V 2.6's MAE decreased to 31.93, and view classification accuracy increased from 20 % to 63.05 %. In classification tasks, EchoClip achieved F1 scores of 0.2716 for AS severity and 0.4919 for disease classification but exhibited limited performance in view classification (F1 = 0.1457). Few-shot learning yielded modest gains but was generally less effective than fine-tuning.
CONCLUSIONS: This evaluation and benchmarking study demonstrated the importance of domain-specific pretraining and model adaptation in cardiovascular decision support tasks. Cardiovascular-focused models and fine-tuned general-domain models achieved superior performance, especially for complex assessments such as EF estimation. These findings offer critical insights into the current capabilities and future directions for clinically meaningful AI integration in cardiovascular medicine.</t>
  </si>
  <si>
    <t>Here we conducted a retrospective evaluation of an electronic medical record-embedded large language model clinical decision support system deployed across 16 primary care clinics in Kenya, between July and September 2024. A panel of trained physicians reviewed 1,469 records. Hallucinations were uncommon, occurring in 50 encounters (3.4%, 95% confidence interval (CI) 2.5-4.5), and most often involved misexpanded acronyms or drug names. Clinical management guidance aligned with local guidelines in almost all cases (1,455; 99%, 95% CI 98.4-99.5). Despite this, clinicians did not modify documentation in 917 encounters (62%, 95% CI 59.9-64.9). Safety assessments identified actively harmful recommendations from the large language model in 115 encounters (7.8%, 95% CI 6.5-9.3), with 67 such recommendations appearing in the final documentation. Conversely, risk present in the clinician's initial notes was fully mitigated in 118 encounters (8.0%, 95% CI 6.7-9.5 overall; 12.1%, 95% CI 9.5-15.2 of amended cases). Overall, the tool showed strong potential to support quality improvement, but the asymmetric adoption of harmful versus beneficial outputs underscores the need for usability optimization, local guardrails and prospective trials to confirm patient-level benefit.</t>
  </si>
  <si>
    <t>OBJECTIVE: Large language models (LLMs) have shown promise in clinical applications, yet prior studies mainly evaluated their standalone performance on benchmarks or examinations. This study assesses how LLMs support clinicians across specialties, disease contexts, experience levels and decision-making stages.
METHODS: We evaluated 3 LLMs (Deepseek-R1, GPT-4o-mini and LLaMA-4) using 2 task types: (1) general-disease tasks spanning specialties and disease incidence levels, and (2) prostate disease scenario covering the clinical workflow, including diagnosis, treatment planning, postoperative rehabilitation and prognosis. Clinicians with different seniority completed tasks independently and repeated them after reviewing LLM-generated responses. Performance was rated by experts using a 5-point Likert scale, and differences were analyzed with the Wilcoxon signed-rank test.
RESULTS: LLM assistance significantly improved clinician performance across general disease tasks (P &lt; .05). In the specialty scenario, junior clinicians' scores increased by 0.579-0.723 (15.9%-20.8%) across 4 clinical stages, whereas senior clinicians' improvements ranged from 0.053-0.303 (1.3%-7.5%). With LLM support, junior clinicians surpassed senior clinicians' unaided performance in postoperative rehabilitation and prognosis stages (P &lt; .05) and achieved comparable performance in diagnosis and treatment stages (P &gt; .05). Performance varied among models, with Deepseek-R1 performing best in diagnostic tasks.
DISCUSSION: These findings suggest that LLM assistance may provide greater benefit to less-experienced clinicians and are particularly effective in downstream decision-making stages, indicating a potential role in mitigating experience-related performance disparities.
CONCLUSIONS: LLMs may serve as supportive clinical-decision support tools across diseases, specialties, clinician experience levels, and workflow stages, with observed improvements in decision quality and reduced performance disparities.</t>
  </si>
  <si>
    <t>OBJECTIVES: To evaluate the capability of using generative artificial intelligence (AI) in summarizing alert comments and to determine if the AI-generated summary could be used to improve clinical decision support (CDS) alerts.
MATERIALS AND METHODS: We extracted user comments to alerts generated from September 1, 2022 to September 1, 2023 at Vanderbilt University Medical Center. For a subset of 8 alerts, comment summaries were generated independently by 2 physicians and then separately by GPT-4. We surveyed 5 CDS experts to rate the human-generated and AI-generated summaries on a scale from 1 (strongly disagree) to 5 (strongly agree) for the 4 metrics: clarity, completeness, accuracy, and usefulness.
RESULTS: Five CDS experts participated in the survey. A total of 16 human-generated summaries and 8 AI-generated summaries were assessed. Among the top 8 rated summaries, five were generated by GPT-4. AI-generated summaries demonstrated high levels of clarity, accuracy, and usefulness, similar to the human-generated summaries. Moreover, AI-generated summaries exhibited significantly higher completeness and usefulness compared to the human-generated summaries (AI: 3.4 ± 1.2, human: 2.7 ± 1.2, P = .001).
CONCLUSION: End-user comments provide clinicians' immediate feedback to CDS alerts and can serve as a direct and valuable data resource for improving CDS delivery. Traditionally, these comments may not be considered in the CDS review process due to their unstructured nature, large volume, and the presence of redundant or irrelevant content. Our study demonstrates that GPT-4 is capable of distilling these comments into summaries characterized by high clarity, accuracy, and completeness. AI-generated summaries are equivalent and potentially better than human-generated summaries. These AI-generated summaries could provide CDS experts with a novel means of reviewing user comments to rapidly optimize CDS alerts both online and offline.</t>
  </si>
  <si>
    <t>BACKGROUND: Large language models (LLMs) show promise in clinical contexts but can generate false facts (often referred to as "hallucinations"). One subset of these errors arises from adversarial attacks, in which fabricated details embedded in prompts lead the model to produce or elaborate on the false information. We embedded fabricated content in clinical prompts to elicit adversarial hallucination attacks in multiple large language models. We quantified how often they elaborated on false details and tested whether a specialized mitigation prompt or altered temperature settings reduced errors.
METHODS: We created 300 physician-validated simulated vignettes, each containing one fabricated detail (a laboratory test, a physical or radiological sign, or a medical condition). Each vignette was presented in short and long versions-differing only in word count but identical in medical content. We tested six LLMs under three conditions: default (standard settings), mitigating prompt (designed to reduce hallucinations), and temperature 0 (deterministic output with maximum response certainty), generating 5,400 outputs. If a model elaborated on the fabricated detail, the case was classified as a "hallucination".
RESULTS: Hallucination rates range from 50 % to 82 % across models and prompting methods. Prompt-based mitigation lowers the overall hallucination rate (mean across all models) from 66 % to 44 % (p &lt; 0.001). For the best-performing model, GPT-4o, rates decline from 53 % to 23 % (p &lt; 0.001). Temperature adjustments offer no significant improvement. Short vignettes show slightly higher odds of hallucination.
CONCLUSIONS: LLMs are highly susceptible to adversarial hallucination attacks, frequently generating false clinical details that pose risks when used without safeguards. While prompt engineering reduces errors, it does not eliminate them.</t>
  </si>
  <si>
    <t>BACKGROUND: Clinical decision-making in spinal and spinal cord diseases requires a comprehensive assessment of imaging findings, neurological status, bone integrity, and patient-centered goals. Recently, the emergence of Large Language Models (LLMs) has provided new tools for intelligent decision support; however, their reliability and clinical interpretability remain to be systematically evaluated.
METHODS: We propose a novel retrieval augmented generation (RAG)-based framework specifically tailored for spinal disease decision support and systematically evaluated four advanced LLM agents (Gemini 2.5 Flash, DeepSeek, GPT-4o, GPT-4o-mini). The framework integrates domain-specific prompting, structured response formatting, and evidence citation tracking.We used 200 real-world spinal cases, each involving diagnostic, therapeutic, and follow-up tasks. Five spine surgeons independently evaluated model outputs using an 11-dimension rubric; each dimension rated on a 5-point Likert scale to evaluate both clinical and technical performance. Inter-group differences were analyzed using the Kruskal-Wallis and Dunn's tests (P &lt; 0.05), with radar plots used for multidimensional visualization.
RESULTS: The proposed expert-evaluated framework enables a comprehensive, real-case-based comparison of four LLM agents. Gemini 2.5 Flash achieved the highest overall score (49.25 ± 2.88), significantly outperforming DeepSeek (47.49 ± 3.34, P &lt; 0.001), GPT-4o (45.59 ± 3.89, P &lt; 0.001), and GPT-4o-mini (41.23 ± 5.96, P &lt; 0.001). It demonstrated leading performance particularly in humanistic care, follow-up suggestion, and test recommendation. DeepSeek showed superior capability in differential completeness (mean = 4.76), significantly outperforming the other three models (P &lt; 0.001). Although GPT-4o-mini demonstrated stable system performance (mean = 4.61), it underperformed in core clinical reasoning dimensions. These findings reveal substantial inter-model variability in spine-specific clinical reasoning, an aspect often overlooked in prior non-benchmark LLM evaluations.
CONCLUSION: Among the four evaluated LLM agents, Gemini 2.5 Flash and DeepSeek demonstrated superior clinical accuracy, comprehensiveness, and usability in spine-related decision support. These findings support the potential of domain-adapted RAG agents to enhance evidence-based spinal care by providing accurate and comprehensive decision support. Future research should focus on multimodal integration data (e.g., imaging and clinical notes) and conducting prospective validation in real-world clinical environments.</t>
  </si>
  <si>
    <t>BACKGROUND: Colorectal cancer (CRC) is a leading cause of cancer morbidity and mortality worldwide. The complexity of guideline-concordant care and unstructured clinical data has driven demand for decision-support tools. Large language models (LLMs) show promise for processing clinical data and patient-provider communication, yet evidence is fragmented, and a CRC-specific synthesis across the full care continuum is lacking.
OBJECTIVE: This systematic review evaluates the current applications, performance determinants, and clinical implications of LLMs across the continuum of CRC care.
METHODS: Following PRISMA (Preferred Reporting Items for Systematic Reviews and Meta-Analyses), we searched 6 databases (PubMed, Embase, Web of Science, Scopus, CINAHL, Cochrane) through April 1, 2026. Eligible studies were peer-reviewed original investigations of LLMs on CRC tasks with extractable outcomes; reviews, editorials, and abstracts were excluded. Two reviewers assessed quality with QUADAS-2 (Quality Assessment of Diagnostic Accuracy Studies-2), PROBAST (prediction model risk of bias assessment tool), and ROBINS-I (Risk of Bias in Nonrandomized Studies - of Interventions). Data on model types, applications, prompts, input/output formats, and outcomes were analyzed descriptively, with narrative synthesis per synthesis without meta-analysis (SWiM) guidelines.
RESULTS: Of 8880 records, 37 studies met inclusion criteria (2023-2026), mostly from China and the United States, with GPT series most frequently evaluated. Overall risk of bias was low in 10/37 studies (27.0%), moderate in 14/37 (37.8%), unclear in 7/37 (18.9%), and high or serious in 6/37 (16.2%). Problematic domains included outcome measurement, intervention classification, patient selection, and lack of blinded assessment. LLMs showed utility in automating data extraction from clinical texts, supporting patient education, aiding diagnosis, and assisting clinical decision-making, with emerging visual interpretation and multimodal capacities. Domain-specific and multimodal models showed advantages over general-purpose models in certain tasks. Performance was significantly influenced by prompt design, from zero-shot queries to fine-tuning. Despite efficiency and outcome benefits, challenges persist regarding methodological quality, data privacy, and generalizability.
CONCLUSIONS: This review provides an integrative framework synthesizing evidence across study designs and LLM categories in CRC care. Unlike prior reviews addressing gastroenterology broadly or limited to one design, it covers the full CRC continuum and, for the first time, comparatively evaluates general-purpose, domain-specific, and multimodal LLMs, clarifying how prompt engineering and heterogeneous metrics shape outcomes. Although findings support LLMs' clinical potential, results must be interpreted cautiously, given low overall evidence quality. Most studies lacked safeguards against bias-blinded assessment, confounder adjustment, or prospective multicenter validation. Substantial heterogeneity across tasks, LLM types, prompts, reference standards, and outcomes means reported advantages cannot be generalized. Future work should prioritize real-world integration via prospective multicenter validation, robust privacy frameworks, and rigorous human oversight. Amid rising global CRC burden and health care disparities, this review informs clinical translation, equitable scaling, and policy on LLM deployment.</t>
  </si>
  <si>
    <t>Retrieval-Augmented Generation (RAG) offers a promising strategy to harness large language models (LLMs) for delivering up-to-date, accurate clinical guidance while reducing physicians' cognitive burden, yet its effectiveness hinges on query clarity and structure. We propose an adaptive Self-Query Retrieval (SQR) framework that integrates three refinement modules-PICOT (Population, Intervention, Comparison, Outcome, Time), SPICE (Setting, Population, Intervention, Comparison, Evaluation), and Iterative Query Refinement (IQR)-to automatically restructure and iteratively enhance clinical questions until they meet predefined retrieval-quality thresholds. Implemented on Gemini-1.0 Pro, we benchmarked SQR using thirty postoperative rhinoplasty queries, evaluating responses for accuracy and relevance on a three-point Likert scale and for retrieval quality via precision, recall, and F1 score; statistical significance was assessed by one-way ANOVA with Tukey post-hoc testing. The full SQR pipeline achieved 87% accuracy (Likert 2.4 ± 0.7) and 100% relevance (Likert 3.0 ± 0.0), significantly outperforming a non-refined RAG baseline (50% accuracy, 80% relevance; p &amp;lt; 0.01 and p = 0.03). Precision, recall, and F1 rose from 0.17, 0.39 and 0.24 to 0.53, 1.00, and 0.70, respectively, while PICOT-only and SPICE-only variants yielded intermediate improvements. These findings demonstrate that automated structuring and iterative enhancement of queries via SQR substantially elevate LLM-based clinical decision support, and its model-agnostic architecture enables rapid adaptation across specialties, data sources, and LLM platforms.</t>
  </si>
  <si>
    <t>BACKGROUND: Initial systemic treatment planning for metastatic prostate cancer (mPCa) requires rapid synthesis of heterogeneous clinical and biomarker information. Large language models (LLMs) could assist clinicians, but their safety and acceptability in this high-stakes setting remain uncertain.
METHODS: We conducted a multicenter retrospective evaluation of 238 consecutive mPCa cases from three tertiary centers (2018-2025). Five contemporary LLMs were tested via publicly available web interfaces under a locked, zero-shot prompting protocol to generate a clinical summary, a first-line systemic treatment recommendation, and a rationale. Outputs underwent two-stage assessment: (1) multidisciplinary team (MDT) binary safety adjudication using a one-strike gate with a prespecified taxonomy of critical errors; unsafe outputs were assigned a Likert score of 1 for all domains; (2) three senior medical oncologists independently rated safety-passed outputs on 5-point Likert scales for summary accuracy, guideline-concordant and patient-tailored recommendations, and rationale quality. Paired ordinal outcomes were analyzed with Friedman tests and Holm-adjusted post hoc comparisons, and binary safety outcomes with Cochran's Q and McNemar tests.
RESULTS: Safety rates ranged from 79.0% to 84.9%. Among safety-passed outputs, mean utility scores (5-point Likert) were in the low-to-mid 4 range. Between-model differences were most apparent for summarization, whereas treatment recommendations and rationales showed modest separation after multiplicity adjustment. Failures clustered in hard cases with incomplete documentation and were dominated by missingness-related extraction errors, disease-state/pathway errors, guideline logic deviations, and safety-check omissions.
CONCLUSIONS: Current LLMs can support mPCa care as drafting assistants, but ∼15%-21% of outputs breached safety thresholds under a strict gate, precluding unsupervised use at initial treatment-planning encounters.</t>
  </si>
  <si>
    <t>BACKGROUND: Large Language Models (LLM; e.g., ChatGPT) may be used to assist clinicians and form the basis of future clinical decision support (CDS) for colon cancer. The objectives of this study were to (1) evaluate the response accuracy of two LLM-powered interfaces in identifying guideline-based care in simulated clinical scenarios and (2) define response variation between and within LLMs.
METHODS: Clinical scenarios with "next steps in management" queries were developed based on National Comprehensive Cancer Network guidelines. Prompts were entered into OpenAI ChatGPT and Microsoft Copilot in independent sessions, yielding four responses per scenario. Responses were compared to clinician-developed responses and assessed for accuracy, consistency, and verbosity.
RESULTS: Across 108 responses to 27 prompts, both platforms yielded completely correct responses to 36% of scenarios (n = 39). For ChatGPT, 39% (n = 21) were missing information and 24% (n = 14) contained inaccurate/misleading information. Copilot performed similarly, with 37% (n = 20) having missing information and 28% (n = 15) containing inaccurate/misleading information (p = 0.96). Clinician responses were significantly shorter (34 ± 15.5 words) than both ChatGPT (251 ± 86 words) and Copilot (271 ± 67 words; both p &lt; 0.01).
CONCLUSIONS: Publicly available LLM applications often provide verbose responses with vague or inaccurate information regarding colon cancer management. Significant optimization is required before use in formal CDS.</t>
  </si>
  <si>
    <t>Accurate CT protocol assignment is crucial for optimizing medical imaging procedures. The integration of large language models (LLMs) may be helpful, but its efficacy as a clinical decision support system for protocoling tasks remains unknown. This study aimed to develop and evaluate fine-tuned LLM specifically designed for CT protocoling, as well as assess its performance, both standalone and in concurrent use, in terms of effectiveness and efficiency within radiological workflows. This retrospective study included radiology tests for contrast-enhanced chest and abdominal CT examinations (2829/498/941 for training/validation/testing). Inputs involve the clinical indication section, age, and anatomic coverage. The LLM was fine-tuned for 15 epochs, selecting the best model by macro sensitivity in validation. Performance was then evaluated on 800 randomly selected cases from the test dataset. Two radiology residents and two radiologists assigned CT protocols with and without referencing the output of LLM to evaluate its efficacy as a clinical decision support system. The LLM exhibited high accuracy metrics, with top-1 and top-2 accuracies of 0.923 and 0.963, respectively, and a macro sensitivity of 0.907. It processed each case in an average of 0.39 s. The LLM, as a clinical decision support tool, improved accuracy both for residents (0.913 vs. 0.936) and radiologists (0.920 vs. 0.926 without and with LLM, respectively), with the improvement for residents being statistically significant (p = 0.02). Additionally, it reduced reading times by 14% for residents and 12% for radiologists. These results indicate the potential of LLMs to improve CT protocoling efficiency and diagnostic accuracy in radiological practice.</t>
  </si>
  <si>
    <t>INTRODUCTION: Large language models (LLMs) are promising tools for clinical decision support but require thorough validation to ensure safety and reliability. This study assessed a knowledge and intelligence messaging interface (KIMI; RevelAi Health), an LLM enhanced with retrieval-augmented generation configured with American Academy of Orthopaedic Surgeons guidelines for distal radius fracture management and a persistent system-prompt layer. The goal was to evaluate KIMI's efficacy in acuity triaging and generating appropriate patient-facing responses for distal radius fracture management.
METHODS: We analyzed KIMI-generated responses to 100 simulated patient queries. Four clinical experts independently assessed responses for guideline concordance, safety, clarity, and acuity. Probabilities for adequate scoring in all domains were modeled. Bayesian mixed-effects logistic regression and ordered logistic regression models were used for binary and ordinal scoring outcomes, respectively, to account for repeated measures and within-reviewer correlations.
RESULTS: Reviewer evaluations of KIMI responses demonstrated high performance across safety and quality domains. Posterior average probability of responses being rated as safe was 94.2% (95% credible interval [CI]: 91.2 to 96.9), as concordant was 88.7% (95% CI: 85.0 to 92.0), and as clear was 93.7% (95% CI: 90.5 to 96.5). Posterior average probability of exact agreement between reviewer-assigned and LLM-assigned acuity levels was 62.9% (95% CI: 58.0 to 67.7). Surgical queries were associated with slightly higher safety ratings (95.4% versus 91.3%) and acuity agreement (63.9% versus 60.6%) than nonsurgical queries. Query category markedly influenced acuity agreement. LLM-assigned acuity was markedly associated with reviewer-assigned acuity across all models even when adjusting for both query type and category (odds ratio = 2.66; 95% CI: 1.81 to 3.83).
DISCUSSION: KIMI generated responses that were generally safe, clinically concordant, and clearly communicated. These findings support the feasibility of deploying enhanced LLMs for asynchronous patient engagement in low-to-moderate risk care coordination settings.</t>
  </si>
  <si>
    <t>OBJECTIVE: To systematically evaluate the diagnostic, classification, and treatment decision-making performance of large language models (LLMs) in dry eye disease (DED) and compare their performance with that of junior ophthalmologists to assess their feasibility as clinical support tools.
METHODS: One hundred standardized DED cases from Fuzhou University Affiliated Provincial Hospital (Aug 2023-Aug 2025) were analyzed. Four LLMs (ChatGPT-4o, DeepSeek-V3, Gemini-2.5-Pro, and ERNIE Bot-4.5-turbo) underwent an initial 20-item test with a 95% accuracy threshold. Only models meeting this criterion advanced to case-based evaluation. Diagnostic and therapeutic outputs were rated by senior ophthalmologists using the Global Quality Score (GQS) and a clinical safety score. Meanwhile, the response times of both the LLMs and the junior ophthalmologists were recorded to evaluate their respective efficiency.
RESULTS: ChatGPT-4o, DeepSeek-V3, and Gemini-2.5-Pro met the screening threshold. In determining treatment necessity, the accuracies of the LLMs (96-99%) were comparable to those of junior ophthalmologists (97%). For DED classification, DeepSeek-V3 achieved the highest accuracy (92%) and agreement with experts (kappa = 0.80), outperforming ChatGPT-4o and junior ophthalmologists (71%, kappa ≈ 0.53; p &lt; 0.01). Gemini-2.5-Pro showed strong performance (accuracy 89%), the highest GQS (4.87 ± 0.37), and the best safety rating, with 89% of its outputs rated as "good". The decision efficiency of the LLMs was significantly higher (p ≤ 0.001), with response times (16-36 s) much shorter than those of junior ophthalmologists (315 ± 57 s).
CONCLUSIONS: Gemini-2.5-Pro and DeepSeek-V3 demonstrated high accuracy, safety, and efficiency in case-based DED management, showing strong potential as auxiliary tools to enhance clinical decision-making and support less experienced clinicians.
TRIAL REGISTRATION: Not applicable. This study is a retrospective observational study and does not involve any intervention requiring trial registration.</t>
  </si>
  <si>
    <t>BACKGROUND: Clinical Decision Support Systems (CDSS) improve patient outcomes and support sustainable health services by enhancing medical decisions. Developing rules for a CDSS is expensive due to delays in capturing and defining the rules through multiple iterations between clinicians and developers as the role of a clinician is patient care.
OBJECTIVE: We investigate the effectiveness of large language models (LLMs) and large reasoning models (LRMs) in generating a triaging rule set for a CDSS.
METHODS: We prompt various LLMs (GPT-3.5, GPT-4, GPT-4o, Gemini, Claude 3.5 Sonnet) and various LRMs (GPT-o1-mini, Grok-4, Claude 4 Sonnet) using alternative prompting techniques. We compare the LLM generated rule sets against the clinical rule set from our Pandemic Intervention Monitoring System (PiMS); a triaging CDSS built in collaboration with clinicians to monitor COVID-19 positive patients. Effectiveness is evaluated based on the accuracy, interpretability, and rule complexity.
RESULTS: We identified that LLMs generated COVID-19 screening rule sets compared to triaging rule sets when not specifying the variables from our PiMS rule set. By including PiMS variables in our prompts, we discovered LLMs 1) had lower interpretability and rule complexity compared to the PiMS rule set, and 2) resulted in an average accuracy between 31.62% ± 0.19% and 70.71% ± 0.02%. While for LRMs, we identified that 1) interpretability varied between 3 and 94 compared to 41 identified in our PiMS rule set and 2) resulted in an average accuracy between 31.62% ± 0.19% and 81.70 ± 0.05%.
CONCLUSIONS: LLMs are limited in emulating clinical rule sets due to their simplicity and lack of complex reasoning. Despite LRMs improving effectiveness, they are still limited. LLMs and LRMs can generate a feasible initial rule set for CDSS. This can reduce time invested by clinicians and developers by minimising the number of iterations for refinement. Future work can explore integrating LLMs and LRMs with decision trees to improve effectiveness.
SUPPLEMENTARY INFORMATION: The online version contains supplementary material available at 10.1007/s13755-026-00428-z.</t>
  </si>
  <si>
    <t>PURPOSE: This study aims to develop and evaluate a multimodal, knowledge graph-guided retrieval-augmented generation (RAG) framework for clinical decision support in pediatric acute leukemia.
MATERIALS AND METHODS: Authoritative pediatric hematology-oncology textbooks were decomposed into text, tables, and figures. Visual and tabular elements were converted into structured textual descriptions using a multimodal large language model (LLM). A biomedical knowledge graph was constructed using LightRAG with gpt-oss-20b and Qwen3 embeddings. System performance was evaluated using 10 clinical questions, with responses generated by the RAG system and GPT-4.5. Nine medical experts (4 pediatric hematology-oncology specialists, 3 nurse specialists, and 2 medical students) conducted blind evaluations, complemented by two LLM evaluators (Claude Sonnet 4.5 and Gemini 3).
RESULTS: The knowledge graph comprised 10,062 nodes and 15,876 edges. In expert evaluation, RAG was preferred in 47.8% of 90 paired comparisons versus 35.6% for GPT-4.5, with higher completeness scores (3.84 vs 3.51, p = 0.016). RAG showed significant advantage for ETP-ALL immunophenotype definition (p = 0.016). LLM-based evaluation consistently favored RAG: Claude Sonnet 4.5 preferred RAG in 6 of 10 questions, and Gemini 3 in 9 of 10 (Fast mode) and 7 of 10 (Thinking mode).
CONCLUSION: Multimodal graph-based RAG is feasible for clinical decision support in pediatric leukemia. RAG showed complementary strengths to foundation model LLMs, providing added value for questions requiring evidence-dependent information. Unlike LLMs with static training knowledge, RAG can incorporate updated guidelines and protocols without model retraining, particularly relevant in rapidly evolving fields. Further validation regarding privacy and regulatory issues is required before clinical deployment.</t>
  </si>
  <si>
    <t>PURPOSE: Large language models (LLMs) have a significant potential in healthcare due to their ability to process unstructured text from electronic health records (EHRs) and to generate knowledge with few or no training. In this study, we investigate the effectiveness of LLMs for clinical decision support, specifically in the context of emergency department triage, where the volume of textual data is minimal compared to other scenarios such as making a clinical diagnosis.
METHODS: We benchmark LLMs with traditional machine learning (ML) approaches using the Emergency Severity Index (ESI) as the gold standard criteria of triage. The benchmark includes general purpose, specialised, and fine-tuned LLMs. All models are prompted to predict ESI score from a EHRs. We use a balanced subset (n = 1000) from MIMIC-IV-ED, a large database containing records of admissions to the emergency department of Beth Israel Deaconess Medical Center.
RESULTS: Our findings show that the best-performing models have an average F1-score below 0.60. Also, while zero-shot and fine-tuned LLMs can outperform standard ML models, their performance is surpassed by ML models augmented with features derived from LLMs or knowledge graphs.
CONCLUSION: LLMs show value for clinical decision support in scenarios with limited textual data, such as emergency department triage. The study advocates for integrating LLM knowledge representation to improve existing ML models rather than using LLMs in isolation, suggesting this as a more promising approach to enhance the accuracy of automated triage systems.</t>
  </si>
  <si>
    <t>OBJECTIVES: Large language models (LLMs), such as OpenAI's GPT-4o, have demonstrated considerable promise in transforming clinical decision support systems. In this study, we focused on a single but crucial task of clinical decision-making: laboratory test ordering.
METHODS: We evaluated the self-consistency and performance of GPT-4o as a laboratory test recommender for 15 simulated clinical cases of different complexities across primary and emergency care settings. Through two prompting strategies - zero-shot and chain-of-thought - the model's recommendations were evaluated against expert consensus-derived gold-standard laboratory test orders categorized into essential and conditional test orders.
RESULTS: We found that GPT-4o exhibited high self-consistency across repeated prompts, surpassing the consistency observed among individual expert orders in the earliest round of consensus. Precision was moderate to high for both prompting strategies (68-82 %), although relatively lower recall (41-51 %) highlighted a risk of underutilization. A detailed analysis of false negatives (FNs) and false positives (FPs) could explain some gaps in recall and precision. Notably, variability in recommendations centered primarily on conditional tests, reflecting the broader diagnostic uncertainty that can arise in diverse clinical contexts. Our analysis revealed that neither prompting strategy, case complexity, nor clinical context significantly affected GPT-4o's performance.
CONCLUSIONS: This work underscores the promise of LLMs in optimizing laboratory test ordering while identifying gaps for enhancing their alignment with clinical practice. Future research should focus on real-world implementation, integrating clinician feedback, and ensuring alignment with local test menus and guidelines to improve both performance and trust in LLM-driven clinical decision support.</t>
  </si>
  <si>
    <t>BACKGROUND: Clinical decision algorithms used by clinicians guide evidence-based decisions and actions. Automated tools can help with the adoption and sustainability of these algorithms, and automation is especially needed in the emergency setting which requires quick decision making in a chaotic environment. This preimplementation study evaluated whether a large language model (LLM) can apply the Pediatric Emergency Care Applied Research Network (PECARN) Head Injury Algorithm safely and accurately on emergency department notes, a preliminary step in the development of a clinical decision support tool for treating pediatric head injuries.
METHODS: We studied the safety and capability of an LLM, Generative Pretrained Transformer (GPT), to apply the PECARN Head Injury Algorithm using notes of patient encounters aged 3 months - 18 years who presented to a pediatric emergency department (ED) with chief complaint of "head injury". A dataset of 24 patients was curated to include a diverse range of symptoms for developing models and a dataset of 122 was randomly selected for testing. We developed and compared four LLM models to extract clinical features from clinical notes. Primary outcomes were safety, measured as negative predictive value (NPV), and accuracy of the LLM models compared to gold standard pediatric emergency medicine (PEM) physicians. Secondary outcomes were the accuracies for the nine features used in the PECARN algorithm.
RESULTS: All models demonstrated high NPV comparable to PEM physicians. The GPT model with the highest combination of NPV and accuracy was the prompt-engineered "Optimized Features Model" (NPV = 0.98, accuracy = 0.89), which performed similarly to that of the ED clinicians in both NPV (0.99) and accuracy (0.92).
CONCLUSIONS: Our LLM-based tool for a clinical decision algorithm demonstrated high accuracy and NPV. While promising, further studies on scalability and feasibility are needed to ensure LLM-based digital health tools encourage safe, effective care for pediatric patients in the ED.</t>
  </si>
  <si>
    <t>Prosthetic selection critically influences rehabilitation outcomes for lower-limb amputees, yet conventional approaches often rely on subjective clinical judgment and static protocols, frequently overlooking individualized patient factors. This study presents ProsthetiX-AI, a clinical decision support system that integrates a deterministic policy engine with evidence-based reasoning, supported by an explanation module from large language models, to deliver personalized prosthetic recommendations. The framework dynamically analyzes patient-specific parameters, such as amputation level, mobility classification, comorbidities, weight, and biomechanical characteristics to generate recommendations aligned with established clinical guidelines. A core innovation of the system lies in its ability to transparently justify outputs by retrieving peer-reviewed evidence, including mobility classification standards and weight-based component selection criteria, thereby enhancing interpretability for clinicians. Delivered through an interactive web interface, the system supports automated reporting, safety validation for weight-based compatibility, and real-time monitoring. Evaluations across transtibial and transfemoral amputations, as well as complex comorbidity profiles, demonstrated sub-millisecond latency, reliable multi-user handling, and adherence to validated recommendations. Quantitative evaluation showed an accuracy of 0.72-0.89 and Cohen's κ = 0.64  -0.85, achieving agreement within the range of clinician-clinician variability ( κ = 0.57  ). Feedback from five clinicians and five prosthetic users reported high ratings for accuracy (4.76/5) and usability (4.54/5), highlighting the system's clinical potential. Despite modest, vignette-based samples, results suggest that citation-linked recommendations can augment clinical decision-making. By emphasizing transparency, scalability, and clinician oversight, ProsthetiX-AI addresses challenges in adopting artificial intelligence in healthcare and provides a foundation for patient-centric decision support in resource-constrained environments.</t>
  </si>
  <si>
    <t>OBJECTIVE: To evaluate the quality of recommendations provided by ChatGPT regarding inguinal hernia repair.
MATERIAL AND METHODS: ChatGPT was asked 5 questions about surgical management of inguinal hernias. The chat-bot was assigned the role of expert in herniology and requested to search only specialized medical databases and provide information about references and evidence. Herniology experts and surgeons (non-experts) rated the quality of recommendations generated by ChatGPT using 4-point scale (from 0 to 3 points). Statistical correlations were explored between participants' ratings and their stance regarding artificial intelligence.
RESULTS: Experts scored the quality of ChatGPT responses lower than non-experts (2 (1-2) vs. 2 (2-3), p&amp;lt;0.001). The chat-bot failed to provide valid references and actual evidence, as well as falsified half of references. Respondents were optimistic about the future of neural networks for clinical decision-making support. Most of them were against restricting their use in healthcare.
CONCLUSION: We would not recommend non-specialized large language models as a single or primary source of information for clinical decision making or virtual searching assistant.</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</si>
  <si>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follows:A Peer Review by experts in Nursing and AI was performed, ensuring scientific rigor and breadth of insights for an essential, reproducible, and coherent methodological approach. By means of a 7-point Likert scale, thresholds are defined in order to classify LLMs as "unusable", "usable with high caution", and "recommended"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"recommended", being also endorsed across all domains. LLAMA 3 70B and ChatGPT 3.5 were classified as "usable with high caution." Others were classified as unusable in this domain.
CONCLUSION: The identification of a recommended LLM for a specific healthcare area, combined with its critical, prudent, and integrative use, can support healthcare professionals in decision-making processes.</t>
  </si>
  <si>
    <t>BACKGROUND: Large language models (LLMs) have demonstrated remarkable capabilities in various medical fields, yet their performance in thrombosis and hemostasis, particularly in patient education and complex clinical decision making, is unexplored.
OBJECTIVES: We aimed to compare the quality of responses from LLMs vs thrombosis experts and assess clinician's ability to distinguish between them.
METHODS: Three experts on thrombosis and hemostasis and 3 LLMs (Le Chat Pixtral Large, DeepSeek-R1, and ChatGPT-4.5) answered 3 patient education and 3 clinical decision-making queries. Thirty-seven physicians rated responses for adequacy (1 = very poor; 10 = excellent) and estimated their origin (1 = certainly LLM; 10 = certainly human). Mean differences were assessed via t-tests, medians via Wilcoxon tests, and correlations via Spearman test. All P values were adjusted with Bonferroni correction.
RESULTS: LLMs provided significantly better patient education responses than experts. Mean adequacy score differences were as follows: Le Chat Pixtral Large +1.6 (95% CI, 1.3-2.0; P &lt; .01), DeepSeek-R1 +1.7 (95% CI, 1.3-2.1; P &lt; .001), and ChatGPT-4.5 +1.9 (95% CI, 1.6-2.3; P &lt; .001). In clinical decision-making, DeepSeek-R1 outperformed experts (+1.4; 95% CI, 1.1-1.8; P &lt; .001), whereas Le Chat Pixtral Large (-0.3; 95% CI, -0.8-0.1; P = .96) and ChatGPT-4.5 (+0.5; 95% CI, 0.0-0.9; P = .18), performed comparably with experts. Evaluators could not distinguish between expert (median, 6.0; IQR, 3.0-8.0) and LLM-generated responses (median, 6.0; IQR, 4.0-8.0).
CONCLUSION: LLMs outperform experts in venous thromboembolism-related patient education and match or exceed them in clinical decision making, providing responses indistinguishable from experts. Although major barriers need to be addressed, LLMs have strong potential to support clinical management and patient education in the field of thrombosis and hemostasis.</t>
  </si>
  <si>
    <t>UNLABELLED: Large language models (LLMs) like ChatGPT are being explored as clinical decision support tools, but their reliability in pediatric acute care remains uncertain. This pilot study assessed ChatGPT-4.0's performance in the early management of critically ill children using real-world clinical data. We retrospectively analyzed 20 children emergently admitted from the emergency department (ED) to a tertiary pediatric intensive care unit (PICU). ChatGPT-4.0 was prompted at four time points: ED arrival (diagnostic and therapeutic plans), ED transfer (differential diagnosis and hospitalization decision), PICU admission (diagnostic and therapeutic plans), and 24 h into PICU stay (differential diagnosis). Outputs were compared to actual care and evaluated for accuracy, safety, and omissions. At ED and PICU admission, 94% (95% CI, 91-97%) and 98% (95% CI, 95-99%) of diagnostic recommendations were rated as appropriate. Only 82% (95% CI, 76-87%) of therapeutic recommendations were considered appropriate at both points (p &lt; 0.001). Potentially harmful therapeutic suggestions were more common than diagnostic ones: 7% vs. 2% in the ED (p = 0.016) and 10% vs. 0% in the PICU (p &lt; 0.00001). In the PICU, critically missing therapeutic recommendations occurred at 0.95 per case, compared to 0.15 for diagnostic ones (p = 0.0073). The correct diagnosis appeared in 100% of ED discharge and 95% (95% CI, 85-100%) of PICU 24-h differentials. Triage decisions were accurate in all PICU cases.
CONCLUSION: ChatGPT-4.0 showed good diagnostic and triage performance but requires caution, especially for therapeutic decisions and broader pediatric use.
WHAT IS KNOWN: • LLMs like ChatGPT are being explored as clinical support tools. • Their diagnostic potential has been studied in adults, but pediatric data using real patient cases are limited.
WHAT IS NEW: • This is the first study evaluating ChatGPT in real PICU cases. • It showed good diagnostic and triage performance but requires caution, especially regarding therapeutic decisions.</t>
  </si>
  <si>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</si>
  <si>
    <t>PURPOSE: Artificial intelligence systems known as large language models are being evaluated for clinical decision support, yet their role in emergency and primary care remains limited. Physicians in these settings often encounter ear, nose, and throat conditions where diagnostic uncertainty, unnecessary testing, and inappropriate referrals contribute to patient risk and healthcare inefficiency. This study compared the performance of advanced large language models with physicians in diagnosis, management, and referral across common and high-acuity otolaryngologic scenarios.
METHODS: Twelve clinical vignettes representing routine and urgent presentations were developed and validated by otolaryngologists. One hundred practicing physicians in family medicine and emergency medicine, including residents and attending physicians, completed all vignettes by providing a diagnosis, management plan, and referral decision. Four large language models (Gemini-2.0, ChatGPT-4.0, ChatGPT-5, and OpenEvidence) were tested using identical prompts. Model outputs were anonymized, randomized, and rated by a blinded expert panel using the Quality Analysis of Medical Artificial Intelligence tool, which assesses accuracy, clarity, completeness, sourcing, relevance, and usefulness.
RESULTS: Physicians achieved mean diagnostic accuracy of 91.6% and management accuracy of 87.9%. In non-urgent cases, 30.4% of responses represented inappropriate referral. Only half recognized the need for urgent referral in a cerebrospinal fluid leak scenario. Large language models demonstrated comparable diagnostic and management accuracy with higher referral appropriateness.
CONCLUSIONS: Large language models showed consistent, guideline-concordant reasoning in simulated emergency and primary-care otolaryngology cases. Their potential lies in supporting, not replacing, clinical judgment through responsible integration and real-world validation.</t>
  </si>
  <si>
    <t>Imaging utilization has increased dramatically in recent years, and at least some of these studies are not appropriate for the clinical scenario. The development of large language models (LLMs) may address this issue by providing a more accessible reference resource for ordering providers, but their relative performance is currently understudied. Evaluate and compare the relative appropriateness and usefulness of imaging recommendations generated by eight publicly available models in response to neuroradiology clinical scenarios. Twenty-four common neuroradiology clinical scenarios were selected which often yield suboptimal imaging utilization. Questions were crafted to assess the ability of LLMs to provide accurate and actionable advice. The LLMs were assessed in August 2023 using natural-language 1-2 sentence queries requesting advice about optimal image ordering given certain clinical parameters. Eight of the most well-known LLMs were chosen for evaluation: ChatGPT, GPT4, Bard (Versions 1 and 2), Bing Chat, Llama 2, Perplexity, and Claude. The models were graded by three fellowship-trained neuroradiologists on whether their advice was "optimal" or "not optimal" according to the ACR Appropriateness Criteria or the New Orleans Head CT Criteria. The raters also ranked the models based on the appropriateness, helpfulness, concision, and source-citations in their response. The models varied in their ability to deliver an "optimal" recommendation based on these scenarios as follows: ChatGPT (20/24), GPT4 (23/24), Bard 1 (13/24), Bard 2 (14/24), Bing Chat (14/24), Llama (5/24), Perplexity (19/24), and Claude (19/24). The median ranks of the LLMs were as follows: ChatGPT (3), GPT4 (1.5), Bard 1 (4.5), Bard 2 (5), Bing Chat (6), Llama (7.5), Perplexity (4), and Claude (3). Characteristic errors are described and discussed. GPT-4, ChatGPT, and Claude generally outperformed Bard, Bing Chat, and Llama 2. This study evaluates the performance of a greater variety of publicly available LLMs in settings that more closely mimic real-world use cases as well as discussing the practical challenges of doing so. This is the first study to evaluate and compare a wide range of publicly available LLMs to determine appropriateness of their neuroradiology imaging recommendations.</t>
  </si>
  <si>
    <t>BACKGROUND: Acute otolaryngologic emergencies such as sudden sensorineural hearing loss (SSNHL), epistaxis, and acute facial paralysis frequently present to emergency departments (EDs), where early guideline-concordant decisions are critical to prevent irreversible morbidity. Large language models (LLMs) are increasingly explored for clinical decision support, yet their ability to consistently apply specialty guidelines in time-sensitive settings remains uncertain. Retrieval-augmented generation (RAG), which supplies LLMs with authoritative guideline content during response generation, may improve accuracy and safety.
OBJECTIVES: To determine whether integrating American Academy of Otolaryngology-Head and Neck Surgery (AAOHNS) Clinical Practice Guidelines via RAG improves the accuracy, guideline adherence, and safety of LLM-generated decision support for acute ear, nose and throat (ENT) emergencies in the ED.
METHODS: Twelve standardized clinical vignettes representing ED presentations of SSNHL, epistaxis, and Bell's palsy were developed. Two LLMs (ChatGPT and Gemini) generated responses under baseline conditions and with guideline-integrated RAG. Five blinded otolaryngologists independently evaluated outputs using a nine-domain rubric assessing diagnostic accuracy, diagnostic workup, management quality, referral appropriateness, guideline adherence, and risk of misleading information. Non-parametric tests compared performance, and inter-rater reliability was assessed using intraclass correlation coefficients.
RESULTS: Inter-rater reliability was excellent. Compared with baseline models, RAG-enabled models demonstrated significantly improved diagnostic accuracy, diagnostic workup quality, management planning, referral appropriateness, and guideline adherence. RAG reduced misleading recommendations and modestly decreased overtreatment, while overtesting rates were unchanged.
CONCLUSIONS: Guideline integration through RAG improves the reliability, safety, and guideline alignment of LLM outputs for acute otolaryngologic emergencies and may support evidence-based decision-making in emergency care.</t>
  </si>
  <si>
    <t>PURPOSE: To synthesize performance and improvement strategies for adapting generative LLMs in EHR analyses and applications.
METHODS: We followed the PRISMA guidelines to conduct a systematic review of articles from PubMed and Web of Science published between January 1, 2023 and November 9, 2024. Multiple reviewers including biomedical informaticians and a clinician involved in the article reviewing process. Studies were included if they used generative LLMs to analyze real-world EHR data and reported quantitative performance evaluations for an improvement technique. The review identified key clinical applications, summarized performance and the improvement strategies.
RESULTS: Of the 18,735 articles retrieved, 196 met our criteria. 112 (57.1%) studies used generative LLMs for clinical decision support tasks, 40 (20.4%) studies involved documentation tasks, 39 (19.9%) studies involved information extraction tasks, 11 (5.6%) studies involved patient communication tasks, and 10 (5.1%) studies included summarization tasks. Among the 196 studies, most studies (88.8%) did not quantitatively evaluate the LLM performance improvement strategies, with the rest twenty-four studies (12.2%) quantitatively evaluated the effectiveness of in-context learning (9 studies), fine-tuning (12 studies), multimodal integration (8 studies), and ensemble learning (2 studies). Three studies highlighted that few-shot prompting, fine-tuning, and multimodal data integration might not improve performance, and another two studies found that fine-tuning a smaller model could outperform a large model.
CONCLUSION: Applying a performance improvement strategy may not necessarily lead to performance improvement, and detailed guidelines regarding how to apply those strategies more effectively and safely are needed, which can be completed from more quantitative analysis in the future.</t>
  </si>
  <si>
    <t>BACKGROUND: Headache disorders are a major cause of disability worldwide. In routine practice, diagnosis and guideline-based management are difficult because symptoms can overlap between primary and secondary headaches, and clinicians must combine clinical, imaging, and pathological information. Large language models (LLMs) are being proposed to assist clinical reasoning, but their performance on headache cases and their sensitivity to prompting have not been systematically assessed.
METHODS: We evaluated seven leading LLMs using 13 headache cases from the New England Journal of Medicine (NEJM). We compared two prompting strategies: ask-in-sequence (AS) and ask-at-once (AO). Using a 5-point Likert rubric, three headache specialists independently scored six dimensions: rationality of diagnostic thinking, comprehensiveness of differential diagnosis, diagnostic accuracy, completeness of pathological diagnosis, clinical management, and supplementary value. Readability was measured with Flesch Reading Ease (FRE) and Flesch-Kincaid Grade Level (FKGL). We analyzed differences across models, prompting strategies, and cases.
RESULTS: Diagnostic accuracy differed by model: in the AS strategy, ChatGPT-4o outperformed Grok-3. Supplementary value also varied: in AS, Grok-3 outperformed ChatGPT-5 and Hunyuan-T1; in AO, DeepSeek-R1 outperformed ChatGPT-5. Overall, supplementary value was generally higher with AS, while strategy-related differences in diagnostic accuracy were observed only for Grok-3. Performance also depended on the case; C8 and C11 consistently received very low scores, suggesting difficulty integrating psychiatric or warning signs with pathological findings. Readability differed significantly: Gemini 2.5 Pro had the highest FRE (best readability) across strategies, and AS outputs generally had higher FRE. Within AS, ChatGPT-4o had the highest FKGL (worst readability). No significant model differences were found for the other four clinical dimensions.
CONCLUSIONS: This study provides a structured, reproducible evaluation of LLMs on headache case analysis. While some models improved supplementary value, diagnostic accuracy, or readability, overall clinical accuracy remains below expert performance and is not sufficient for unsupervised clinical use.</t>
  </si>
  <si>
    <t>BACKGROUND: Large language models (LLMs) are entering clinical workflows, yet their effect on clinical decisions and potential for harm are uncertain.
METHODS: We measured harmful decision output from an ensemble of 20 LLMs across &amp;gt;10 million clinical scenarios with safety or ethical dilemmas. Each case was shown under a neutral control and six Milgram-style social-pressure conditions, with or without a brief mitigation cue ("verify or escalate if unsafe"). The primary outcome was the proportion of potentially harmful responses. We used two-proportion tests/χ2 tests and confirmatory mixed-effects logistic models.
RESULTS: Across all runs (N = 10,096,800), LLMs produced 1.18 million potentially harmful outputs (11.7%). Mitigation reduced harmful decisions from 16.6% to 10.1% (p &amp;lt; 0.001). When exposed to social pressure, models behaved predictably but unevenly: prompts framed as authority or responsibility transfer generated the most harmful responses, whereas control prompts, neutral and pressure-free, produced the fewest (mitigated 8.3-9.6%; unmitigated 14.3-16.0%; χ2 p &amp;lt; 0.001). In other words, when told what to do, or told that someone else would take responsibility, models were more likely to comply, even when the instruction was unsafe. These effects were consistent across datasets and models.
CONCLUSION: LLMs can generate harmful medical decisions at scale. A brief safety reminder reduces, but does not eliminate, this behavior. These results highlight the need to measure harm propensity as a core performance metric and to maintain guardrails and continuous physician oversight before integrating LLMs into clinical decision-making.</t>
  </si>
  <si>
    <t>STOPP/START v3 is a set of criteria for optimizing therapy for elderly patients with polypharmacy. Implementing these criteria in prescribing software requires to formalize them, which is a difficult task. This project aimed to automate the formalization of these criteria using large language models (LLMs), specifically leveraging Retrieval-Augmented Generation (RAG) for enhanced accuracy. We employed DeepSeek and GPT-4o-mini for entity extraction, code mapping to ICD-10, LOINC, and ATC, and the generation of executable Python code. A preliminary evaluation conducted on a subset of rules yielded a notably high F1-score (0.90, 0.92, 1 for drug, disease and observation entity mapping respectively and perfect results for medical entity extraction and code logic consistency). These results confirm the model's effectiveness in accurately transforming complex clinical rules into executable code. In conclusion, we successfully automated the creation of executable code from medical guidelines, proving that LLMs, supported by RAG, can be effective for automating clinical decision support tasks and formalizing medical rules.</t>
  </si>
  <si>
    <t>Large language models (LLMs) are reshaping radiology through their advanced capabilities in tasks such as medical report generation and clinical decision support. However, their effectiveness is heavily influenced by prompt engineering-the design of input prompts that guide the model's responses. This review aims to illustrate how different prompt engineering techniques, including zero-shot, one-shot, few-shot, chain of thought, and tree of thought, affect LLM performance in a radiology context. In addition, we explore the impact of prompt complexity and temperature settings on the relevance and accuracy of model outputs. This article highlights the importance of precise and iterative prompt design to enhance LLM reliability in radiology, emphasizing the need for methodological rigor and transparency to drive progress and ensure ethical use in health care.</t>
  </si>
  <si>
    <t>Large language models (LLMs) are increasingly investigated for their potential role in guideline-based clinical information support. However, their consistency with subspecialty guidelines, particularly in urolithiasis, remains underexplored. This study aimed to evaluate the performance of four large language models (LLMs); GPT-4, GPT-4-turbo, Claude, and Gemini in generating guideline-concordant responses to clinical questions related to urolithiasis. A total of 105 clinical questions were independently developed by the authors based on urolithiasis management principles. Each LLM generated responses in two separate sessions. Two experienced urologists evaluated the outputs for accuracy and concordance with guideline recommendations. Inter-rater agreement analysis demonstrated fair agreement between evaluators. Differences across models and guideline categories were assessed using appropriate statistical tests. All four LLMs demonstrated high guideline adherence, with mean total scores ranging from 86.5 ± 5.2 (Gemini) to 92.8 ± 3.1 (Claude). Claude achieved the highest correlation with expert ratings (r = 0.94, p &lt; 0.01). There were no statistically significant differences across models or among the nine clinical categories (p &gt; 0.05). Session-to-session repeatability was also high for all models, with intra-model correlation coefficients exceeding 0.90. LLMs, particularly Claude, can provide reliable, guideline-consistent answers to urolithiasis-related clinical queries. Their consistent performance across themes suggests utility as adjunctive informational tools for guideline-based urological education and support, although further validation in real-world clinical settings remains necessary.</t>
  </si>
  <si>
    <t>BACKGROUND: Perioperative anticoagulant management is critical because of the competing risks of ischemia and bleeding. Large language models (LLMs) and clinical decision support (CDS) have shown substantial advances and are increasingly being applied across various domains of cardiology. However, to date, no studies have specifically evaluated the performance of LLMs combined with CDS in perioperative anticoagulant management.
METHODS: Two cardiologists developed 40 guideline-based clinical scenarios involving patients receiving oral anticoagulants scheduled for non-cardiac surgery, including 20 direct oral anticoagulant (DOAC) and 20 warfarin scenarios. Three commonly used LLMs (ChatGPT 5.2, Gemini 3.0 Pro, and DeepSeek V3.2) were evaluated in two phases: baseline performance (Phase 1) and performance after integration of structured CDS tables (Phase 2). Responses were assessed for guideline concordance on a per-scenario basis, requiring correct recommendations across all predefined domains. Model performances were compared using Cochran's Q test, with post hoc Dunn-Bonferroni correction, and within-model comparisons were performed using McNemar's test.
RESULTS: In Phase 1, guideline-concordant management was achieved in 60% of scenarios by ChatGPT-5.2, 55% by Gemini 3.0 Pro, and 50% by DeepSeek V3.2, with no significant difference among models (p = 0.180). Following CDS augmentation in Phase 2, scenario-level accuracy improved significantly for all models (all p &lt; 0.05), increasing to 80% for ChatGPT-5.2, 100% for Gemini 3.0 Pro, and 85% for DeepSeek V3.2. Comparative analysis in Phase 2 demonstrated a significant difference among models (p = 0.009), driven primarily by superior performance of Gemini 3.0 Pro compared with ChatGPT-5.2 (adjusted p = 0.009).
CONCLUSIONS: Baseline performance of LLMs in perioperative anticoagulant management was modest and insufficient to replace clinical judgment. However, integration of structured CDS tools resulted in marked and clinically meaningful improvements in guideline-concordant performance across all evaluated models.</t>
  </si>
  <si>
    <t>Large language models (LLMs) are increasingly being explored for a wide range of applications in radiology, offering the potential to enhance clinical workflows, improve diagnostic accuracy, and support patient communication. In this scoping review the authors examine the current and emerging uses of LLMs on radiology text, focusing on areas such as report generation, structured data extraction, workflow optimization, and clinical decision support. A literature search was conducted on PubMed and Embase, and a total of 69 articles were included in the review. The capabilities and limitations of existing approaches were assessed, and key methodologic considerations were discussed, including transparency and bias, while identifying critical gaps in validation and generalizability. Overall, LLMs demonstrated strong performance in workflows such as report simplification and translation but produced mixed results in classification tasks. Certain methods such as fine-tuning and structured prompt generation improved LLM accuracy. In assessing the characteristics of the included studies, although most studies performed well in documenting the independence of their testing and training datasets and LLM prompting methods, fewer than half of studies explicitly attempted to manage the inherent stochasticity of LLMs. By synthesizing recent advancements and outlining future directions, the aim of this review was to guide clinicians, researchers, and health care stakeholders in responsibly harnessing the transformative potential of LLMs in radiologic care.</t>
  </si>
  <si>
    <t>INTRODUCTION: Large Language Model-Driven Generative Recommender Systems (LLM-GRSs) are playing a growing role in healthcare, particularly in clinical question-answering. This study reviews their corpus sources, customization techniques, and evaluation metrics.
METHODS: We conducted a systematic search of PubMed, Embase, Scopus, and Web of Science for studies published between January 2021 and August 2025 that applied LLM-GRSs to deliver medical or healthcare information. Eligible studies included publications describing LLMs designed to emulate clinical decision-making by providing diagnostic or therapeutic recommendations through dialogue-based interfaces. Two reviewers independently screened studies and extracted data on corpus sources, model architectures, customization methods, and evaluation metrics.
RESULTS: A total of 61 articles were included. Corpus sources were grouped into clinical data (n = 25), literature (n = 34), open datasets (n = 37), and web-crawled data (n = 15), with many using multiple types. Most studies (n = 43) combined multiple approaches. Customization techniques included prompt engineering, retrieval-augmented generation and model fine-tuning. Twenty-four studies used a single customization technique, while 37 studies combined these methods during model development. The evaluation metrics were classified into three main domains: process metrics, usability metrics, and outcome metrics. The outcome metrics included both model-based and manual-assessed evaluations.
CONCLUSION: LLM-GRSs hold considerable promise in healthcare; however, their safety and reliability hinge on the use of evidence-based training corpora, transparent system design, and standardized evaluation protocols within real-world clinical environments.</t>
  </si>
  <si>
    <t>OBJECTIVE: To systematically evaluate the capability of three large language models (LLMs)—GPT-4o, Grok-3, and DeepSeek—in interpreting and translating clinical practice guidelines for caries management and in supporting clinical decision-making, thereby exploring their potential role in disseminating dental knowledge and assisting clinical practice. METHODS: Based on the American Dental Association’s guideline on nonrestorative treatments for carious lesions, a zero-shot prompting strategy—where models are given tasks without prior examples or fine-tuning—was employed to objectively assess their intrinsic ability to interpret and apply guideline knowledge. Each model was instructed to generate guideline summaries tailored for both healthcare professionals and the general public, as well as to provide diagnoses and treatment plans for three standardized clinical cases. All outputs were independently evaluated by three experienced endodontists across five dimensions (accuracy, clarity, conciseness, logical coherence, and overall quality) using a 0–10 scale. Automated text consistency was also assessed using ROUGE-L and BLEU metrics. RESULTS: In clinical case analyses, GPT-4o achieved a significantly higher composite score compared to DeepSeek and Grok-3, demonstrating superior diagnostic accuracy and clinically relevant treatment recommendations. This performance gap may be attributed to GPT-4o’s more robust clinical reasoning architecture and better alignment with guideline logic. For public-facing summaries, GPT-4o excelled in clarity and coherence, while DeepSeek achieved the highest accuracy in preserving source terminology. For professional summaries, all models performed comparably, with DeepSeek leading in automated metrics. CONCLUSION: Large language models demonstrate promising potential in translating dental guidelines and assisting clinical decision-making, with GPT-4o showing particularly strong performance in complex clinical reasoning tasks. However, limitations include variability in personalized recommendation generation and occasional mechanistic application of guidelines. The findings underscore the need for enhanced model interpretability, integration of multimodal data, and development of human-AI collaborative frameworks to optimize the balance between standardized and personalized oral disease management.</t>
  </si>
  <si>
    <t>Differentiation of syncope from transient loss of consciousness can be challenging in the emergency department (ED). Natural Language Processing (NLP) enables the analysis of free text in the electronic medical records (EMR). The present paper aimed to develop a large language models (LLM) for syncope recognition in the ED and proposed a framework for model integration within the clinical workflow. Two models, based on both the Italian and Multilingual Bidirectional Encoder Representations from Transformers (BERT) language model, were developed using consecutive EMRs. The "triage" model was only based on notes contained in the "triage" section of the EMR. The "anamnesis" model added data contained in the "medical history" section. Interpretation and calibration plots were generated. The Italian and Multi BERT models were developed and tested on both 15,098 and 15,222 EMRs, respectively. The triage model had an AUC of 0·95 for the Italian BERT and 0·94 for the Multi BERT. The anamnesis model had an AUC of 0·98 for the Italian BERT and 0·97 for Multi BERT. The LLM identified syncope when not explicitly mentioned in the EMR and also recognized common prodromal symptoms preceding syncope. Both models identified syncope patients in the ED with a high discriminative capability from nurses and doctors' notes, thus potentially acting as a tool helping physicians to differentiate syncope from others transient loss of consciousness.</t>
  </si>
  <si>
    <t>Cardiovascular diseases are a leading global cause of death, but their accurate diagnosis remains challenging. While Large Language Models (LLMs) show promise in assisting disease diagnosis in general, their adoption in cardiology is hindered by three critical limitations: hallucination, inadequate domain-specific reasoning, and restricted knowledge coverage. To overcome these barriers, we developed Cardiology-Chat, an LLM-based system specifically tailored for cardiology. The system employs a three-step main reasoning framework: 1) parsing user queries with Llama 3.1 8B-instruct to extract key clinical information; 2) retrieving evidence from the knowledge base via Retrieval-augmented generation (RAG); and 3) generating diagnostic conclusions using the fine-tuned Llama model. Two critical components have been developed to support the system's functionality. The first is a specialized cardiovascular vector knowledge base, constructed from multiple data sources to enhance the RAG subsystem. The second is a Chain-of-Thought-augmented dataset designed to strengthen the LLM's in-depth reasoning capabilities. In addition, multiple LLMs were adopted to mitigate the possible "self-consistency" bias. Experiments on public cardiology QA and real clinical cases demonstrated significant performance improvements, achieving 0.796 accuracy and 0.807 F1 respectively.</t>
  </si>
  <si>
    <t>INTRODUCTION: In the context of precision oncology, patients often have complex conditions that require treatment based on specific and up-to-date knowledge of guidelines and research. This entails considerable effort when preparing such cases for molecular tumor boards (MTBs). Large language models (LLMs) could help to lower this burden if they could provide such information quickly and precisely on demand. Since out-of-the-box LLMs are not specialized for clinical contexts, this work aims to investigate their usefulness for answering questions arising during MTB preparation. As such questions can contain sensitive data, we evaluated medium-scale models suitable for running on-premise using consumer grade hardware.
METHODS: Three recent LLMs to be tested were selected based on established benchmarks and unique characteristics like reasoning capability. Exemplary questions related to MTBs were collected from domain experts. Six of those were selected for the LLMs to generate responses to. Response quality and correctness was evaluated by experts using a questionnaire.
RESULTS: Out of 60 contacted domain experts, 5 fully completed the survey, with another 5 completing it partially. The evaluation revealed a modest overall performance. Our findings identified significant issues, where a large percentage of answers contained outdated or incomplete information, as well as factual errors. Additionally, a high discordance between evaluators regarding correctness and varying rater confidence has been observed.
CONCLUSION: Our results seem to be indicating that medium-scale LLMs are currently insufficiently reliable for use in precision oncology. Common issues include outdated information and confident presentation of misinformation, which indicates a gap between benchmark- and real-world performance. Future research should focus on mitigating limitations with advanced techniques such as Retrieval-Augmented-Generation (RAG), web search capability or advanced prompting, while prioritizing patient safety.</t>
  </si>
  <si>
    <t>IMPORTANCE: Large language models (LLMs) offer potential decision support, but their accuracy varies. Prompt engineering can generally enhance LLM behavior in a clinical context, yet best practices have yet to be formally explored in realistic clinical contexts for neurology.
OBJECTIVE: To evaluate the impact of structured prompting versus naive prompting on the performance of four LLMs (two closed-source: OpenAI GPT-4o, OpenAI o3; three open-source: Meta Llama-4-Scout-17B-16E-Instruct, Llama-3.3-70B-Instruct-Turbo, and the reasoning model r1-1776) for thrombolytic clinical decision support (CDS) in acute stroke.
DESIGN: Models responded to three novel ischemic stroke vignettes using either a naive question ("Should this patient be offered thrombolytics?") or a five-step structured prompt (CARDS) guiding information extraction, timing analysis, contraindication checking, decision process explanation, and risk-benefit discussion. Outputs were assessed across seven domains: guideline adherence, unsafe recommendations, risk recognition, guideline grading accuracy, inclusion of conversational explanation, clarity, and overall helpfulness.
RESULTS: Structured prompts significantly enhanced performance across most domains, with varying effects between model families. For closed-source models (GPT-4o, o3), prompts structured in the CARDS style improved guideline adherence from 83.3% to 100%, eliminated unsafe recommendations (16.7% to 0%), and increased specific guideline grading accuracy from 0% to 100%. Similarly, the open-source reasoning model r1-1776 achieved these top-tier outcomes (100% adherence, 0% unsafe, 100% grading, 100% conversation) when structured prompts were applied, with grading and conversation improving from 0%. In contrast, other open-source models (Llama-4-Scout, Llama-3.3-70B) showed more modest gains: risk recognition improved (83.3% to 100%) and guideline grading accuracy increased (0% to 66.7%), while guideline adherence (66.7%) and unsafe recommendations (33.3%) persisted. Overall, structured prompting yielded the largest improvements in guideline grading accuracy and conversational reasoning across multiple models.
CONCLUSION AND RELEVANCE: Structured prompting substantially enhances LLM performance for acute stroke thrombolysis CDS. Notably, some models, including the proprietary GPT-4o and o3, and the open-source reasoning model r1-1776, achieved excellent safety and adherence with structured prompts. For clinical deployment of any LLM, structured prompts are crucial, and vigilant human oversight remains essential.</t>
  </si>
  <si>
    <t>BACKGROUND: Identifying patient-specific barriers to statin therapy, such as intolerance or deferral, from clinical notes is a major challenge for improving cardiovascular care. Automating this process could enable targeted interventions and improve clinical decision support (CDS).
OBJECTIVE: To develop and evaluate a novel hybrid artificial intelligence (AI) framework for accurately and efficiently extracting information on statin therapy barriers from large volumes of clinical notes.
METHODS: The hybrid AI framework consisted of a rule-based natural language processing (NLP) filter, an LLM-based refinement filter, and an LLM-based multi-category classifier. The framework was developed on 2000 clinical notes and then retrospectively applied to a dataset of 197,761 notes from 47,192 patients at an academic medical center. Performance was evaluated against manual chart review for classifying statin intolerance, contraindications, and patient deferral.
RESULTS: The framework was efficient, with the initial filter removing over 77 % of irrelevant notes while achieving a recall of 1.0 to ensure no relevant information was lost. The final classifier accurately categorized patient-level barriers with high F1 scores for intolerance (0.99), contraindications (0.81), and patient deferral (0.86). On the large dataset, the framework identified that 6.4 % of patients (n = 3,027) had documented intolerance, 0.7 % (n = 310) had contraindications, and 2.9 % (n = 1,391) had deferred therapy.
CONCLUSION: The hybrid AI framework provides an efficient, scalable, and trustworthy solution for processing clinical notes. It has the potential to enhance clinical decision support (CDS) systems by integrating detailed patient-level insights, improving adherence to clinical guidelines, and reducing provider burden. Future research should focus on implementing CDS tools that leverage extracted information to address barriers to statin therapy and optimize patient outcomes.</t>
  </si>
  <si>
    <t>The increasing integration of large language models (LLMs) into healthcare presents significant opportunities, but also critical risks related to patient safety, accuracy, and ethical alignment. Despite these concerns, no standardized framework exists for systematically evaluating and stress testing LLM behavior in clinical decision-making. The PIEE cycle-Planning and Preparation, Information Gathering and Prompt Generation, Execution, and Evaluation-is a structured red-teaming framework developed specifically to address artificial intelligence (AI) safety risks in healthcare decision-making. PIEE enables clinicians and informatics teams to simulate adversarial prompts, including jailbreaking, social engineering, and distractor attacks, to stress-test language models in real-world clinical scenarios. Model performance is evaluated using specific metrics such as true positive and false positive rates for detecting harmful content, hallucination rates measured through adapted TruthfulQA scoring, safety and reliability assessments, bias detection via adapted BBQ benchmarks, and ethical evaluation using structured Likert-based scoring rubrics. The framework is illustrated using examples from plastic surgery, but is adaptable across specialties, and is intended for use by all medical providers, regardless of their backgrounds or familiarity with artificial intelligence. While the framework is currently conceptual and validation is ongoing, PIEE provides a practical foundation for assessing the clinical reliability and ethical robustness of LLMs in medicine.</t>
  </si>
  <si>
    <t>BACKGROUND: Large language models may form the basis of clinical decision support tools to improve rates of guideline concordant care for pancreatic ductal adenocarcinoma. The objectives of this study were to 1) define the first-pass accuracy of 2 publicly available large language models in responding to prompts on the basis of National Comprehensive Cancer Network guidelines for pancreatic ductal adenocarcinoma, 2) describe consistency of responses within each large language models, and 3) explore differences between the 2 large language models in their accuracy and verbosity.
METHODS: Clinical scenarios were developed on the basis of current National Comprehensive Cancer Network guidelines. Scenario prompts were entered independently by 2 investigators into OpenAI ChatGPT and Microsoft Copilot, yielding 4 responses per scenario. Responses were manually graded on accuracy and verbosity and compared to clinician-derived responses.
RESULTS: From the 104 responses, large language model responses were graded as completely correct in 42% of responses (n = 44). ChatGPT responses were more accurate than Copilot across all prompts (3.33 ± 0.86 vs 3.02 ± 0.87, P = .04). Among 54 generated responses from ChatGPT sessions, 52% (n = 27) were completely correct, 35% (n = 18) contained missing information, and 14% (n = 7) were inaccurate/misleading. Copilot responses were completely correct in 33% (n = 17) of responses, whereas 42% (n = 22) were missing information and 25% (n = 13) contained inaccurate/misleading information. Clinician responses were more concise than all large language model-generated responses (32 ± 13 vs 270 ± 70 words, P &lt; .001).
CONCLUSION: Large language model-powered responses to clinical questions regarding pancreatic ductal adenocarcinoma are often inaccurate and verbose. These publicly available large language models require significant optimization before implementation within health care as clinical decision support tools.</t>
  </si>
  <si>
    <t>PURPOSE: A core clinical task is to synthesize fragmented patient data into a coherent summary to support decision making. However, electronic health record (EHR) inefficiencies burden clinicians and contribute to their cognitive overload and burnout. This study evaluated the impact of a large language model (LLM)-enabled clinical decision support (LLM-CDS) platform compared with a simulated EHR (SimEPR) on workflow efficiency and user experience in generating accurate clinical summaries during tumor board preparation and explored its applicability to consultation preparation, referrals, treatment planning, and patient communication.
METHODS: In a remote, within-participant simulation, 26 oncologists from the United Kingdom, United States, Spain, and Singapore reviewed synthetic breast cancer cases and created comprehensive summaries for tumor board discussions using both LLM-CDS and SimEPR. LLM-CDS provided editable LLM-generated summaries; SimEPR required manual composition. Time to task completion was recorded. An independent reviewer assessed summary quality based on completeness, correctness, and conciseness. Participants also completed surveys on usability, cognitive load, and feature acceptability.
RESULTS: LLM-CDS significantly reduced the summary completion time compared with SimEPR (6:55 v 8:47 minutes; P &amp;lt; .001). Summary completeness was rated higher with LLM-CDS (mean score, 3.93 v 3.13), whereas correctness and conciseness were similar. Overall, 87% of participants would recommend LLM-CDS and 96% would anticipate time savings. The system usability scale score for LLM-CDS was 65.7. Although perceived cognitive load was lower with LLM-CDS, the difference was not statistically significant. The LLM summary was the most valued, with 92% finding it useful for the tumor board and consultation preparation.
CONCLUSION: The LLM-CDS platform improved the efficiency and completeness of clinical summarization. Strong user acceptance and anticipated time savings underscore the potential for streamlining a range of oncology workflows.</t>
  </si>
  <si>
    <t>Gynecologic cancer requires personalized care to improve outcomes. Large language models (LLMs) hold the potential to provide intelligent question-answering with reliable information about medical queries in clear and plain English, which can be understood by both healthcare providers and patients. We aimed to evaluate two freely available LLMs (ChatGPT and Google's Bard) in answering questions regarding the management of gynecologic cancer. The LLMs' performances were evaluated by developing a set questions that addressed common gynecologic oncologic findings from a patient's perspective and more complex questions to elicit recommendations from a clinician's perspective. Each question was presented to the LLM interface, and the responses generated by the artificial intelligence (AI) model were recorded. The responses were assessed based on the adherence to the National Comprehensive Cancer Network and European Society of Gynecological Oncology guidelines. This evaluation aimed to determine the accuracy and appropriateness of the information provided by LLMs. We showed that the models provided largely appropriate responses to questions regarding common cervical cancer screening tests and BRCA-related questions. Less useful answers were received to complex and controversial gynecologic oncology cases, as assessed by reviewing the common guidelines. ChatGPT and Bard lacked knowledge of regional guideline variations, However, it provided practical and multifaceted advice to patients and caregivers regarding the next steps of management and follow up. We conclude that LLMs may have a role as an adjunct informational tool to improve outcomes.</t>
  </si>
  <si>
    <t>BACKGROUND: This study evaluated the performance of five Large Language Models based on actual cases to provide guidance for selecting appropriate models for clinical decision-making.
OBJECTIVE: This study aimed to assess the performance of large language models (LLMs) in clinical decision-making for internal medicine and to provide evidence-based guidance for model selection in clinical practice.
METHODS: We conducted a retrospective cross-sectional study with 405 cases across nine subspecialties: cardiovascular, respiratory, gastroenterology, nephrology, rheumatology, endocrinology, neurology, hematology, and infectious diseases. Two senior clinicians evaluated outputs on five dimensions: diagnosis, diagnostic criteria, differential diagnosis, examinations, and treatment. Statistical analyses were performed via the Kruskal‒Wallis tests and Pairwise comparisons were performed by Dunn's test with p-value adjusted by BH procedure.
RESULTS: Overall, significant performance differences were observed among models (p = 0.001). All models performed worst in respiratory (p &amp;lt; 0.05). Gemini significantly outperformed others in differential diagnosis-the weakest area across all models (p &amp;lt; 0.05). Claude scored significantly lower than other LLMs in Card and Heme (p &amp;lt; 0.05). Subgroup analysis indicated that the most pronounced performance disparities were observed in the Card (p &amp;lt; 0.05).
CONCLUSION: GPT, O1, and Gemini demonstrated superior performance in clinical decision-making for internal medicine among all LLMs, whereas Claude showed the poorest performance. All LLMs demonstrated deficiencies in differential diagnosis and poor management for respiratory diseases. The complexity of subspecialty might be a performance differentiator for LLMs and O1 might have potential suitability for complex subspecialties like cardiology.</t>
  </si>
  <si>
    <t>BACKGROUND: Idiosyncratic DILI is a complex clinical challenge requiring timely and accurate decision support. LiverTox, curated by the National Institute of Health (NIH), offers a comprehensive DILI evidence base, but its encyclopedia-like format hinders point-of-care use. Health care providers increasingly use general large language models (LLMs) for clinical care, raising safety concerns due to LLM hallucinations or misinformation. We hypothesize that retrieval-augmented generation (RAG) integration-grounding LLM responses in LiverTox content-would enable accurate DILI decision support.
METHODS: We processed 1343 LiverTox drug monographs into 8759 indexed segments using BioBERT embeddings. We developed a RAG pipeline that employs drug-specific prioritization, section-aware weighting, and semantic search to retrieve the most relevant content per query. Twenty-five DILI questions were evaluated across 6 models: 4 RAG-LLMs: Mistral-7B, Claude-3-Haiku, Claude-3-Opus, and GPT-4o, and 2 non-RAG GPT-4o variants (unconstrained; soft constrained with a prompt to reference LiverTox). Three hepatologists, blinded to the model, evaluated responses for accuracy, completeness, and conciseness using 5-point Likert scales. Analyses included pairwise comparisons and effect size estimation.
RESULTS: One hundred fifty model responses were evaluated with good inter-rater reliability. GPT-4o (RAG) achieved the highest overall scores (4.47±0.10). RAG-LLMs outperformed non-RAG GPT-4o variants in accuracy (p&lt;0.001) and completeness (p&lt;0.01). Moderate to large effect sizes in accuracy (d=0.778) and completeness (d=0.526) were noted with RAG. No hallucinations were observed in RAG-LLM outputs, while both non-RAG GPT-4o variants produced several hallucinated responses. There were no significant differences in scoring or hallucinated response rate between the 2 non-RAG variants.
CONCLUSIONS: We developed an RAG-LLM integrated with LiverTox for evidence-based DILI management. RAG-LLM systems outperformed non-RAG variants and produced responses without observed hallucinations in this evaluation. Our LiverTox RAG-LLM enables reliable answers to drug hepatotoxicity questions at the point of care.</t>
  </si>
  <si>
    <t>BACKGROUND: : Large language models (LLMs) have the potential for clinical decision support; however, their use in specific tasks, such as determining the RhD blood type for transfusion, remains underexplored. Therefore, we evaluated the accuracy of six LLMs in addressing RhD blood type-related issues in Korean healthcare.
METHODS: : Fifteen multiple-choice and true/false questions, based on real-world transfusion scenarios and reviewed by specialists, were developed. The questions were administered twice to six LLMs (Clova X, Gemini 1.0, Gemini 1.5, ChatGPT-3.5, GPT-4.0, and GPT-4o) in both Korean and English.
RESULTS: : GPT-4o demonstrated the highest accuracy rate in Korean (0.6), with significant differences compared with those of Clova X and Gemini (P &amp;lt;0.05). In English, the results were similar across all models. The transfusion experts achieved a higher accuracy rate (0.8). Among the five questions subjected to prompt engineering, only GPT-4o correctly responded to one, whereas the other models failed. All LLM models changed their responses or did not respond when the same question was repeated.
CONCLUSIONS: : GPT-4o showed the best overall performance among the models tested and may be beneficial in RhD blood product transfusion decision-making. However, its performance suggests that it may serve best in a supportive role rather than as a primary decision-making tool.</t>
  </si>
  <si>
    <t>BACKGROUND: This study evaluates and compares ChatGPT-4.0, Gemini Pro 1.5(0801), Claude 3 Opus, and Qwen 2.0 72B in answering dental implant questions. The aim is to help doctors in underserved areas choose the best LLMs(Large Language Model) for their procedures, improving dental care accessibility and clinical decision-making.
METHODS: Two dental implant specialists with over twenty years of clinical experience evaluated the models. Questions were categorized into simple true/false, complex short-answer, and real-life case analyses. Performance was measured using precision, recall, and Bayesian inference-based evaluation metrics.
RESULTS: ChatGPT-4 exhibited the most stable and consistent performance on both simple and complex questions. Gemini Pro 1.5(0801)performed well on simple questions but was less stable on complex tasks. Qwen 2.0 72B provided high-quality answers for specific cases but showed variability. Claude 3 opus had the lowest performance across various metrics. Statistical analysis indicated significant differences between models in diagnostic performance but not in treatment planning.
CONCLUSIONS: ChatGPT-4 is the most reliable model for handling medical questions, followed by Gemini Pro 1.5(0801). Qwen 2.0 72B shows potential but lacks consistency, and Claude 3 Opus performs poorly overall. Combining multiple models is recommended for comprehensive medical decision-making.</t>
  </si>
  <si>
    <t>BACKGROUND: ChatGPT has demonstrated strong performance in the complex, full clinical workflow. In recent years, several large language models (LLMs) from China have been introduced; however, their performance in such intricate tasks has yet to be thoroughly assessed, and it remains unclear whether their performance diverges from that of ChatGPT. This study seeks to evaluate the capacity of the Chinese LLMs for providing continuous clinical decision support by assessing their performance with simulated patient cases.
METHODS: We selected 29 standard cases from the Merck Manual as simulated patients. We provided their information to the LLMs. Each simulated case is accompanied by a series of sequential questions designed to simulate the process of differential diagnosis, diagnostic workup, diagnosis and management. The responses were then recorded and scored. Then we compared the performance of two Chinese large language models with ChatGPT-4 in entire clinical workflow of simulated patient, selecting the best-performing model for a comparison with 18 human emergency fellow doctors. Additionally, we compared the differences in performance between different versions of the LLMs.
RESULTS: There were no significant differences between ChatGPT-4 and Doubao in all four aspects (P &gt; 0.05). However, ERNIE Bot 3.5 was inferior to ChatGPT-4 and Doubao in differential diagnosis, diagnostic questions, and management (P &lt; 0.05). But in diagnosis questions, the average accuracy proportion for all three models was above 97%, with no significant differences observed (P &gt; 0.05). There was no significant difference between LLMs and emergency fellow physicians in diagnosis and differential diagnosis (P &gt; 0.05), but in diagnostic questions as well as management, LMMs were superior to emergency fellow physicians (P &lt; 0.05). ChatGPT-4 was higher than ChatGPT 3.5 in all four aspects (P &lt; 0.05).
CONCLUSION: The large language model Doubao from China demonstrates performance similar to ChatGPT across full clinical workflows. LLMs outperform human emergency fellow physicians and exhibit rapid development, offering significant practical application potential in healthcare.</t>
  </si>
  <si>
    <t>BACKGROUND: Large language models (LLMs) demonstrate increasing potential in healthcare applications, yet their clinical utility in specialized pediatric medicine remains inadequately characterized. This study evaluated LLM performance in pediatric urology to establish evidence-based implementation frameworks.
METHODS: We conducted a two-phase evaluation of thirteen current-generation LLMs between January and April 2025. Phase 1 assessed clinical decision support using 180 standardized cases stratified by complexity (126 routine, 54 complex) based on European Association of Urology pediatric guidelines. Phase 2 evaluated patient education effectiveness across four common pediatric urological conditions. Performance was measured using mathematical similarity metrics and standardized expert evaluation by seven board-certified pediatric urologists employing a validated 100-point scoring system.
RESULTS: LLMs demonstrated superior performance in routine clinical scenarios compared to complex cases (76% vs. 41% accuracy, respectively). OpenAI's GPT-4o3 achieved the highest performance in complex cases (61.4 ± 3.1 vs. 51.8 ± 3.7 for other models, p &lt; 0.001), with significantly lower hallucination rates (0.05 ± 0.02 vs. 0.18 ± 0.04, p &lt; 0.001). Patient education materials showed strong content alignment (78% similarity with reference standards) and appropriate readability levels. Diagnostic confidence demonstrated strong correlation with actual performance (r = 0.82, p &lt; 0.001).
CONCLUSIONS: LLMs show promise as supportive tools in pediatric urology, particularly for patient education and routine clinical scenarios. However, significant limitations in complex case management necessitate careful implementation with mandatory physician oversight. A tiered approach prioritizing patient education while restricting complex clinical decision-making represents the most appropriate implementation strategy.</t>
  </si>
  <si>
    <t>BACKGROUND: Multidisciplinary teams (MDTs) are essential for cancer care but are resource-intensive. Decision-making processes within MDTs, while critical, contribute to increased healthcare costs due to the need for specialist time and coordination. The recent emergence of large language models (LLMs) offers the potential to improve the efficiency and accuracy of clinical decision-making processes, potentially reducing costs associated with traditional MDT models.
METHODS: We conducted a retrospective study of 171 consecutively treated patients with newly diagnosed prostate cancer. Relevant structured clinical data and the European Association of Urology (EAU) pocket guidelines were provided to two LLMs (chatGPT-4, Claude-3-Opus). LLM treatment recommendations were compared to actual treatment recommendations of the MDT meeting (MDM).
RESULTS: Both LLMs demonstrated an overall adherence of 93% with the MDT treatment recommendations. Discrepancies between LLM and MDT recommendations were observed in 15 cases (9%), primarily due to lack of clinical information that could be provided to the LLMs. In 5 cases (3%), the LLM recommendations were not in line with EAU guidelines despite having access to all relevant information.
CONCLUSIONS: Our findings provide evidence that LLMs can provide accurate treatment recommendations for newly diagnosed prostate cancer patients. LLMs have the potential to streamline MDT workflows, enabling specialists to focus on complex cases and patient-centered discussions. In this study, we explored the potential of artificial intelligence models called large language models (LLMs) to assist in treatment decision-making for prostate cancer patients. We found that LLMs, when provided with patient information and clinical guidelines, can recommend treatments that closely match those made by a team of cancer specialists, suggesting that LLMs could help streamline the decision-making process and potentially reduce healthcare costs.</t>
  </si>
  <si>
    <t>OBJECTIVES: To investigate the extent to which Large Language Models (LLMs) exhibit social bias based on protected patient attributes and to determine how design choices, such as architecture and prompting strategies, influence these observed biases in clinical decision support.
METHODS: We evaluated eight popular LLMs, including general-purpose and clinically trained models, across three standardized question-answering datasets using clinical vignettes. We employed red-teaming strategies to analyze the impact of demographics on LLM outputs and compared various prompting techniques, including Zero-shot and Chain of Thought.
RESULTS: Our experiments reveal various disparities across protected groups. Notably, larger models were not necessarily less biased, and medical fine-tuning did not consistently outperform general-purpose models. Furthermore, specific prompt phrasing significantly influenced bias patterns, whereas reflection-type approaches like Chain of Thought effectively reduced biased outcomes.
CONCLUSIONS: LLMs demonstrate significant social biases in clinical scenarios that are influenced by model architecture and prompt engineering. These findings highlight the critical need for rigorous evaluation and enhancement of LLMs before their integration into clinical decision support systems. Consistent with prior studies, we call for additional scrutiny to ensure equity in AI-driven healthcare applications. All code and data are available at https://github.com/healthylaife/FairCDSLLM.</t>
  </si>
  <si>
    <t>Retrieval-augmented generation (RAG) quality depends on how source documents are segmented before indexing; fixed-length chunks can split concepts or add noise, reducing precision. We evaluated whether proposition, semantic, and adaptive chunking improve accuracy and relevance for safer clinical decision support. Using a curated domain knowledge base with Gemini 1.0 Pro, we built four otherwise identical RAG pipelines that differed only in the chunking strategy: adaptive length, proposition, semantic, and a fixed token-dependent baseline. Thirty common postoperative rhinoplasty questions were submitted to each pipeline. Outcomes included medical accuracy and clinical relevance (3-point Likert scale) and retrieval precision, recall, and F1; group differences were tested with ANOVA and Tukey post hoc analyses. Adaptive chunking achieved the highest accuracy-87% (Likert 2.37 ± 0.72) versus baseline 50% (1.63 ± 0.72; p = 0.001)-and the highest relevance (93%, 2.90 ± 0.40). Retrieval metrics were strongest with adaptive (precision 0.50, recall 0.88, F1 0.64) versus baseline (0.17, 0.40, 0.24). Proposition and semantic strategies improved all metrics relative to baseline, though less than adaptive. Aligning chunks to logical topic boundaries yielded more accurate, relevant answers without modifying the language model, offering a model-agnostic, data-source-neutral lever to enhance the safety and utility of LLM-based clinical decision support.</t>
  </si>
  <si>
    <t>Early assessment of depressive symptoms is essential for scalable and personalized mental health care. We developed a hybrid clinical decision support system (CDSS) that combines interpretable logistic regression with fine-tuned large language models (LLMs) to classify depressive symptom status using wearable-derived behavior, clinical features, and environmental exposures. This study aimed to develop a hybrid clinical decision support system by fine‑tuning a GPT‑based large language model with odds ratio-derived statistical reasoning to classify depressive symptom status from wearable‑derived behavioral metrics, clinical characteristics, and environmental exposures. We compared the diagnostic accuracy, interpretability, and operational efficiency of this OR‑based fine‑tuned model against both traditional nomogram‑based statistical models and label‑supervised fine‑tuned LLM approaches. We further evaluated the incremental predictive value of wearable‑derived behavioral features beyond readily available demographic and clinical variables using matched feature-set comparisons. We analyzed data from 2437 adults at Chonnam National University Hospital, South Korea (August 2021-January 2023) who wore wrist actigraphy devices continuously for 7 days. Depressive symptoms were assessed using PHQ-9, with a score ≥ 10 indicating higher symptom burden. We extracted temporal behavioral features including morning steps (06:00-12:00), non-daylight steps, and vigorous physical activity minutes, stratified by weekday/weekend. Meteorological data (temperature, precipitation) were integrated with behavioral metrics. Multivariable logistic regression identified significant predictors with odds ratios (ORs). Five LLMs (GPT-4o, o3-mini, Claude 3.5-sonnet, Gemini 2.0-flash, Llama 3.3) were evaluated under zero-shot conditions. The GPT-based model was selected for supervised fine-tuning using two strategies: label-based (binary outcome only) and OR-based (embedding statistical reasoning into prompts). The system was deployed as a chatbot interface. Among 2437 participants (mean age 60.2 years, 67.5% female), 317 (13.0%) were classified as having elevated depressive symptoms (PHQ-9 ≥ 10). Prespecified incremental-value analyses using matched feature sets (clinical-only, wearable-only, and combined) demonstrated that wearable-derived behavioral features provided additive predictive value beyond demographic and clinical variables. In the OR-based fine-tuned LLM framework, balanced accuracy increased from 0.635 (clinical-only) to 0.735 (wearable-only) to 0.787 (combined) on weekdays, and from 0.589 to 0.647 to 0.680 on weekends. In the nomogram framework, adding wearable features to the clinical model significantly improved risk reclassification (continuous NRI: 0.469, p &lt; 0.001 on weekdays; 0.372, p = 0.002 on weekends) and integrated discrimination improvement (IDI: 0.037, p &lt; 0.001 on weekdays; 0.018, p = 0.002 on weekends). The combined OR-based fine-tuned model achieved 90.3% accuracy and 94.5% specificity on weekdays and 88.8% accuracy and 96.4% specificity on weekends, outperforming both nomogram and label-based fine-tuned models. This hybrid framework demonstrates that odds ratio-anchored fine-tuning can improve classification performance while preserving predictor traceability for PHQ-9-defined elevated depressive symptoms. Wearable-derived behavioral features provided statistically significant incremental predictive value beyond demographic and clinical variables, with larger gains observed on weekdays than on weekends. Prospective external validation across diverse populations is required before clinical implementation.</t>
  </si>
  <si>
    <t>BACKGROUND: Advances in artificial intelligence (AI) have enabled large language models (LLMs) to generate complex and contextually relevant medical responses. However, their potential in clinical decision support for anesthesiology remains underexplored. This study evaluated the accuracy and clinical relevance of high-performing LLMs in response to anesthesia-related questions and compared their performance with traditional online search methods. Clinician perceptions of AI were also assessed. We hypothesized that top-performing large language models would outperform lower-tier models and traditional internet search tools by generating responses rated as more accurate, complete, and clinically relevant to anesthesiology-focused questions, as measured by higher mean evaluator scores on a 10-point Likert scale.
METHODS: Ten LLMs: GPT-4o, Claude-Sonnet 3.5, DeepSeek R1, Llama 3.1 Instruct 70B, Gemini 2.0, GPT o1-preview, GPT o1, GPT o3-mini, NOVA Pro, and Mistral. All models were tested using ten common general anesthesia questions developed by TMH and validated by 6 physicians. Two Google search conditions served as baselines: a default search conducted in a cleared browser (unpersonalized), and a personalized Google Snippet Search performed in a browser regularly used by a clinician. Four board-certified anesthesiologists independently rated each response on a 10-point Likert scale. An ad hoc Physician Perception Questionnaire captured clinicians' use of AI, trust in its output, and reliance on traditional information sources.
RESULTS: LLM performance varied significantly (F = 5.89, P &lt; .0001). DeepSeek R1 achieved the highest overall score (7.7), whereas Gemini 2.0 Flash recorded the lowest among LLMs (5.2). The Google Snippet Search scored 5.3, the lowest overall. Pairwise Welch's t tests showed that DeepSeek R1 significantly outperformed Llama, o3-mini, and Mistral ( P &lt; .001). Survey results indicated limited AI use in clinical practice; clinicians prioritized source credibility and continued to favor traditional resources.
CONCLUSIONS: Although LLM-generated responses differed in quality, DeepSeek R1 and Claude-Sonnet 3.5 produced answers most consistent with expert clinical judgment. The poor performance of several models, coupled with clinician skepticism, underscores the need for further validation before integrating AI into routine anesthesiology decision support.</t>
  </si>
  <si>
    <t>BACKGROUND: Ensuring appropriate use of CT scans is critical for patient safety and resource optimization. Decision support tools and artificial intelligence (AI), such as large language models (LLMs), have the potential to improve CT referral justification, yet require rigorous evaluation against established standards and expert assessments.
AIM: To evaluate the performance of LLMs (Generation Pre-trained Transformer 4 (GPT-4) and Claude-3 Haiku) and independent experts in justifying CT referrals compared to the ESR iGuide clinical decision support system as the reference standard.
METHODS: CT referral data from 6356 patients were retrospectively analyzed. Recommendations were generated by the ESR iGuide, LLMs, and independent experts, and evaluated for accuracy, precision, recall, F1 score, and Cohen's kappa across medical test, organ, and contrast predictions. Statistical analysis included demographic stratification, confidence intervals, and p-values to ensure robust comparisons.
RESULTS: Independent experts achieved the highest accuracy (92.4%) for medical test justification, surpassing GPT-4 (88.8%) and Claude-3 Haiku (85.2%). For organ predictions, LLMs performed comparably to experts, achieving accuracies of 75.3-77.8% versus 82.6%. For contrast predictions, GPT-4 showed the highest accuracy (57.4%) among models, while Claude demonstrated poor agreement with guidelines (kappa = 0.006).
CONCLUSION: Independent experts remain the most reliable, but LLMs show potential for optimization, particularly in organ prediction. A hybrid human-AI approach could enhance CT referral appropriateness and utilization. Further research should focus on improving LLM performance and exploring their integration into clinical workflows.
KEY POINTS: Question Can GPT-4 and Claude-3 Haiku justify CT referrals as accurately as independent experts, using the ESR iGuide as the gold standard? Findings Independent experts outperformed large language models in test justification. GPT-4 and Claude-3 showed comparable organ prediction but struggled with contrast selection, limiting full automation. Clinical relevance While independent experts remain most reliable, integrating AI with expert oversight may improve CT referral appropriateness, optimizing resource allocation and enhancing clinical decision-making.</t>
  </si>
  <si>
    <t>RATIONALE AND OBJECTIVES: This study evaluates the performance of ChatGPT, a large language model (LLM), in selecting appropriate imaging modalities for breast imaging scenarios using the American College of Radiology (ACR) Appropriateness Criteria (AC). We aim to compare the agreement of ChatGPT with the ACR AC to that of breast radiologists at a single institution in selecting appropriate imaging modalities.
METHODS/MATERIALS: The study utilized ten randomly selected clinical variants from the ACR AC breast imaging category. Outputs were obtained from ChatGPT-3.5, ChatGPT-4, and ChatGPT-4o using the versions available in July 2024. The ChatGPT versions and four breast radiologists rated the appropriateness of 81 imaging decisions on a scale from 1 to 9. For each imaging option within a clinical scenario, the ratings provided by the radiologists and four independent samplings of ChatGPT's responses were aggregated. Agreement between ratings from ChatGPT, radiologists, and the ACR AC was analyzed using generalized estimating equations (GEEs) and Bland-Altman plots to assess consistency and bias.
RESULTS: Radiologists had the lowest overall mean bias (0.2438) relative to the ACR (p = 0.489). All versions of ChatGPT had larger mean biases that were significant (GPT-4o: 2.463; GPT-4: 1.7623, GPT-3.5: 2.4691, all p&lt;0.001). All had a slope bias (p &lt; 0.001), but radiologists had the smallest slope bias. In summary, radiologists were closer to the ACR AC and were oftentimes as variable or even less variable as a group than the same ChatGPT version at the same time.
CONCLUSION: ChatGPT shows promise as an AI tool for imaging decision-making, but current versions lack the accuracy, consistency, and reproducibility demonstrated by experienced radiologists. The study underscores the importance for human oversight in clinical applications and the need for further development to improve ChatGPT's and other LLMs' reliability and alignment with established guidelines.</t>
  </si>
  <si>
    <t>BACKGROUND AND OBJECTIVES: Access to specialty surgical care is growing in many low-income countries, but it remains unclear how hospital workforces can leverage technology to manage large numbers of increasingly complex patients. Large language models (LLMs) may be helpful for this type of clinical decision support, but their real-world performance and safety remain uncertain. The objective of this study was to evaluate feasibility, usability, and potential benefits and risks of an LLM-based assistant for postoperative neurosurgical care in the Gambia.
METHODS: A prospective, single-arm implementation study was conducted at the Edward Francis Small Teaching Hospital. A convenience sample of 4 medical officers (MOs) and 5 nurses assigned to the neurosurgical service participated. A prompted GPT-4o Turbo was deployed on OpenAI Pro accounts to support performance. Usability, helpfulness, and safety were the primary outcomes. Cost-effectiveness was a secondary outcome.
RESULTS: Participants completed 75 LLM-assisted interactions on 9 postoperative neurosurgery patients. Usability metrics indicated a moderately high cognitive workload, marginally acceptable usability of the LLM system, and high perceived ease of use. Management plan quality improved in 45 of 75 mock rounds interactions (60%), with a mean improvement of 8.5% (P &lt; .001) on mock rounds scoring rubrics. The improvement was greater for MOs (21.0% change) than nurses (6.5% change). In hypothetical case dilemmas, MO plan accuracy improved by 22.7% (P = .001), and critical errors declined from 33.3% to 0%. Fourteen care changes for 9 patients were attributed to LLM suggestions, including 6 that potentially prevented major morbidity. No unsafe outputs were detected. Exploratory cost analysis suggested potential savings from clinical care changes exceeded the labor costs involved in LLM use.
CONCLUSION: LLM use was associated with improved plan quality without observed safety concerns, while also prompting clinically meaningful care changes. Larger, controlled studies are needed to determine generalizability, durability of benefit, and patient-centered outcomes.</t>
  </si>
  <si>
    <t>BACKGROUND: Traditional Chinese medicine (TCM) clinical decision-making involves complex integration of syndrome differentiation, constitutional assessment, and individualized treatment selection, creating challenges for standardization and quality assurance. While large language models (LLMs) demonstrate capabilities in medical knowledge integration and clinical reasoning, their application to TCM remains largely unexplored, particularly regarding syndrome differentiation principles and prescription formulation.
OBJECTIVE: This study evaluated 5 contemporary LLMs in TCM clinical decision-making and assessed human-artificial intelligence (AI) collaboration compared with independent approaches. Specific objectives were to benchmark LLM performance in TCM knowledge assessment, evaluate clinical case analysis capabilities, identify the optimal model, and assess the quality, efficiency, and acceptability of human-AI collaboration.
METHODS: In total, 5 mainstream LLMs were evaluated-Claude 3.7 Sonnet-Extended (Anthropic), ChatGPT 4.5 (OpenAI), Grok3-DeepSearch (xAI), Gemini 2.0 Flash Thinking Experimental (Google), and DeepSeek-R1 (DeepSeek). The evaluation consisted of four phases, (1) TCM knowledge assessment using 160 standardized questions, (2) clinical case analysis of 30 cases representing different disease systems and complexity levels, (3) optimal model selection using weighted scoring (40% knowledge and 60% clinical analysis), and (4) clinical application assessment involving 10 TCM practitioners and 2 experts comparing physician-only, AI-only, and human-AI collaboration across 5 clinical cases. Statistical analysis included descriptive statistics, reliability analysis, comparative testing, and regression analysis.
RESULTS: DeepSeek-R1 demonstrated superior performance across both evaluation domains, achieving 96.7% accuracy in knowledge assessment and 17.31/20 (SD 2.65) in clinical case analysis, significantly outperforming other models (P&lt;.001). Human-AI collaboration achieved significant improvements compared with physician-only decision-making, with 16.1% quality enhancement (33.62 vs 28.97; P&lt;.001) and 66.1% time reduction (162.6 s vs 479.2 s; P&lt;.001). System usability was rated favorably (System Usability Scale score=76.8; P=.002), with high acceptance rates (74.25% adoption, 24% modification, and 1.75% rejection). AI assistance provided the greatest benefits in prescription formulation and medication selection (P&lt;.001).
CONCLUSIONS: LLMs, particularly DeepSeek-R1, demonstrate substantial capabilities in TCM knowledge assessment and clinical case analysis. Human-AI collaboration significantly enhanced clinical decision-making quality and efficiency while maintaining high physician acceptance. These findings provide compelling evidence for the clinical value of AI-assisted decision-making in TCM, suggesting potential solutions to current challenges in knowledge standardization, clinical training, and health care delivery efficiency. Strategic implementation of AI assistance could significantly enhance the quality, efficiency, and accessibility of TCM care while preserving fundamental principles of individualized treatment.</t>
  </si>
  <si>
    <t>BACKGROUND: Generative large language models (LLMs) are increasingly integrated into the medical field. However, their actual efficacy in clinical decision-making remains partially unexplored. This study aimed to assess the performance of the three LLMs, ChatGPT-4, Gemini, and Med-Go, in the domain of professional medicine when confronted with actual clinical cases.
METHODS: This study involved 134 clinical cases spanning nine medical disciplines. Each LLM was required to provide suggestions for diagnosis, diagnostic criteria, differential diagnosis, examination and treatment for every case. Responses were scored by two experts using a predefined rubric.
RESULTS: In overall performance among the models, Med-Go achieved the highest median score (37.5, IQR 31.9-41.5), while Gemini recorded the lowest (33.0, IQR 25.5-36.6), showing significant statistical difference among the three LLMs (p &lt; 0.001). Analysis revealed that responses related to differential diagnosis were the weakest, while those pertaining to treatment recommendations were the strongest. Med-Go displayed notable performance advantages in gastroenterology, nephrology, and neurology.
CONCLUSIONS: The findings show that all three LLMs achieved over 60% of the maximum possible score, indicating their potential applicability in clinical practice. However, inaccuracies that could lead to adverse decisions underscore the need for caution in their application. Med-Go's superior performance highlights the benefits of incorporating specialized medical knowledge into LLMs training. It is anticipated that further development and refinement of medical LLMs will enhance their precision and safety in clinical use.</t>
  </si>
  <si>
    <t>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between reviewers. Citation accuracy was 96%. In 40 complex dosing scenarios, 75% of outputs were rated correct. The median triage-to-decision time was 23 min (IQR 18-31). Implementation was supported by an offline-first architecture and a facility-based coaching model, sustaining engagement despite staff turnover.
CONCLUSION: A human-supervised, guideline-aligned AI CDSS can be feasibly implemented in routine neonatal care in low-resource settings, with high adoption and guideline concordance. Citation-linked recommendations enhance transparency and support clinical verification with most clinically appropriate recommendations. However, variability in complex scenarios highlights the need for ongoing refinement and strict clinical oversight. These findings support progression to control trials to evaluate clinical effectiveness and safety.</t>
  </si>
  <si>
    <t>BACKGROUND: The management of head and neck cancer relies on multidisciplinary expertise; however, access to tumor boards remains variable. Large language models (LLMs) may support guideline-based decision-making, although performance in complex oncologic scenarios is not well defined.
METHODS: Fourteen synthetic cases based on real tumor board encounters were evaluated. Five blinded comparator arms produced recommendations: a human expert, Non-RAG-GPT-4, Non-RAG-GPT-5, RAG-GPT-4, and RAG-GPT-5. Eight head and neck oncologic surgeons scored each recommendation for appropriateness, clarity, specificity, and feasibility using 5-point Likert scales. Paired permutation testing and inter-rater reliability were assessed.
RESULTS: LLM outputs showed close alignment with expert recommendations. RAG-based models achieved the highest mean scores across domains, with some statistically significant differences versus the expert comparator in appropriateness and clarity; however, absolute differences were modest. Inter-rater reliability was strong (ICC 0.73-0.87).
CONCLUSIONS: Advanced LLMs can generate guideline-concordant management recommendations in simulated head and neck cancer cases, supporting potential utility for decision support and education; prospective validation and expert oversight remain essential.</t>
  </si>
  <si>
    <t>BACKGROUND: Effective diabetes management requires individualized treatment strategies tailored to patients' clinical characteristics. With recent advances in artificial intelligence, large language models (LLMs) offer new opportunities to enhance clinical decision support, particularly in generating personalized recommendations.
OBJECTIVE: This study aimed to develop and evaluate an LLM-based outpatient treatment support system for diabetes and examine its potential value in routine clinical decision-making.
METHODS: Three compact LLMs (Llama 3.1-8B, Qwen3-8B, and GLM4-9B) were fine-tuned on deidentified outpatient electronic health records using a parameter-efficient low-rank adaptation approach. The optimized models were embedded into a prototype hospital information system via a retrieval-augmented generation framework to generate individualized treatment recommendations, laboratory test suggestions, and medication prompts based on demographic and clinical data.
RESULTS: Among the models evaluated, the fine-tuned GLM4-9B demonstrated the strongest performance, producing clinically reasonable treatment plans and appropriate laboratory test recommendations and medication suggestions. It achieved a mean Bilingual Evaluation Understudy for 4-grams score of 67.93 (SD 2.74) and mean scores of 44.30 (SD 3.91) for Recall-Oriented Understudy for Gisting Evaluation for overlap of unigrams, 27.34 (SD 1.85) for Recall-Oriented Understudy for Gisting Evaluation for overlap of bigrams, and 37.67 (SD 2.88) for Recall-Oriented Understudy for Gisting Evaluation for Longest Common Subsequence.
CONCLUSIONS: The fine-tuned GLM4-9B shows strong potential as a clinical decision support tool for personalized diabetes care. It can provide reference recommendations that may improve clinician efficiency and support decision quality. Future work should focus on enhancing medication guidance, expanding data sources, and improving adaptability in cases involving complex comorbidities.</t>
  </si>
  <si>
    <t>Large language models (LLMs) have reached a breakthrough in many aspects of imaging analysis and guideline mining, but not enough research has been conducted on applying them specifically to lung cancer applications. Three models were chosen, and corresponding questions that highlighted specificity towards the diagnosis of lung cancer were proposed with the goal of providing data to increase confidence and improve recommendations for transforming AI-driven clinical care for lung cancer. In this study, five clinical domains were defined. Each question was individually uploaded to the models, and responses were evaluated by three thoracic surgery experts based on accuracy, completeness, and practicality. DeepSeek-R1, Grok-3, and GPT-4.5 showed different levels of results when it came to providing clinical support for lung cancer. Regarding their responses to clinical questions, Grok-3 had a much longer average response and better performance scores. Subgroup analyses further showed that Grok-3 scored the highest of all five domains. Additionally, the confidence scores on recognizing images in the text of Grok-3 were the highest; most mistakes occurred in the differential diagnosis of special cases, whereas DeepSeek and GPT all gave preference to rarer or infectious diseases.</t>
  </si>
  <si>
    <t>BACKGROUND: Large language models are increasingly used as supportive tools in medical education; however, their reliability in anatomically based clinical reasoning remains insufficiently defined. This study aimed to compare the accuracy, depth, and clinical applicability of model-generated responses to thoracic anatomy–based clinical scenarios and to assess inter-rater reliability among expert anatomists. METHODS: This exploratory comparative study evaluated four widely used models—ChatGPT-4o, DeepSeek-V2, Gemini, and Grok—using 20 open-ended thoracic anatomy questions derived from seven clinical scenarios adapted from Moore’s Clinically Oriented Anatomy. Each model generated responses without modification. Two expert anatomists independently assessed all responses using a standardized 10-point scoring system based on anatomical accuracy and clinical relevance. Inter-rater reliability was analyzed using the Intraclass Correlation Coefficient (ICC). Differences in model performance were examined using the Kruskal–Wallis test, with p &lt; 0.05 considered statistically significant. RESULTS: Inter-rater reliability was excellent across all models (ChatGPT-4o: ICC = 1.000; DeepSeek-V2: ICC = 1.000; Gemini: ICC = 0.956; Grok: ICC = 0.977). Significant differences in performance were observed among the models (p &lt; 0.05). Post-hoc analysis demonstrated that Grok achieved the highest median score (7.75), significantly outperforming ChatGPT-4o (4.0), DeepSeek-V2 (4.5), and Gemini (3.0), which showed comparable performance. CONCLUSIONS: Large language models demonstrate variable yet promising potential in supporting clinically oriented thoracic anatomy education. While some models provide more accurate and contextually appropriate responses, expert oversight remains essential. Understanding model-specific strengths and limitations is critical for the safe and responsible integration of AI into biomedical education.</t>
  </si>
  <si>
    <t>BACKGROUND: Most clinically relevant information in emergency department (ED) visits is documented in free text, limiting reuse for research and clinical decision support. Despite growing interest in large language model (LLM)-based feature extraction, very few studies have examined it directly on ED reports. Existing work has mainly addressed binary tasks and rarely evaluated their impact on downstream prediction models. Furthermore, evidence for small multilingual LLMs remains limited, especially for underrepresented languages such as Dutch. Locally deployable LLMs could enable automated feature extraction for decision support systems without increasing physician workload.
OBJECTIVE: We aim to evaluate whether a small open-source LLM (Qwen 2.5:14B) can automatically extract 16 clinical signs and symptoms from ED reports and use these as input for an appendicitis prediction model. LLM performance under minimal and optimized 0-shot prompts was assessed against researcher annotations (reference standard) and physician annotations.
METHODS: This retrospective study used 336 ED reports from patients presenting with acute abdominal pain to a Dutch teaching hospital (2016-2023). One hundred reports were randomly selected to develop a minimal and an optimized 0-shot prompt strategy. The remaining 236 reports, reserved for evaluation, were annotated by 2 ED physicians and processed by the LLM to extract 16 signs and symptoms, covering binary, multiclass, and multilabel classification tasks. These features were used as input to the HIVE (History, Intake, Vitals, Examination) appendicitis prediction model. LLM extraction accuracy, sensitivity, and specificity were measured against the researcher's (reference standard) and physician annotations. The HIVE model's area under the receiver operating characteristic curve was evaluated using LLM-extracted vs physician-annotated features.
RESULTS: Among 336 ED reports from patients with acute abdominal pain (median age 41, IQR 22-62 years, 205/336, 61% female), 50% (167/336) had appendicitis. The LLM achieved weighted average accuracies of 0.910 (95% CI (0.018) with minimal prompts and 0.929 (95% CI ±0.016) with optimized prompts, vs 0.961 (95% CI ±0.012) and 0.951 (95% CI ±0.015) for physicians. Corresponding HIVE model area under the receiver operating characteristic curves were 0.871 (95% CI ±0.019) and 0.911 (95% CI ±0.014) with LLM inputs under the minimal and optimized prompts, compared to 0.917 (95% CI ±0.015) and 0.924 (95% CI ±0.018) for physician inputs.
CONCLUSIONS: A small locally deployable multilingual LLM can approach physician-level accuracy in extracting structured binary, multiclass, and multilabel clinical data from free-text Dutch ED reports, while preserving patient privacy, interpretability, and statistical transparency for downstream diagnostic modeling.</t>
  </si>
  <si>
    <t>BACKGROUND: Artificial intelligence (AI) and large language models (LLMs) are increasingly used in clinical workflows, but their real-world application in thoracic surgery decision-making remains underexplored.
METHODS: This retrospective observational study assessed the concordance between diagnostic and therapeutic recommendations generated by Scholar GPT (based on GPT-4) and decisions made by board-certified thoracic surgeons. All outpatient consultations over one week in a tertiary care hospital were included. Each case was evaluated using a 6-point concordance scale (0-5), developed to quantify agreement in diagnosis and treatment planning. This was a retrospective observational, single-centre analysis; two independent thoracic surgeons assigned the concordance score. We report descriptive statistics and used t-tests/ANOVA for continuous variables and chi-square tests for categorical variables. Given the exploratory design, no a priori sample-size calculation or power analysis was performed.
RESULTS: A total of 81 consultations were analysed. The mean concordance score was 3.67 ± 1.17. High concordance (scores 4-5) occurred in 56.8% of cases, particularly in oncological diagnoses such as mediastinal and pleural tumours. Lower concordance was observed in complex or functional conditions like metastatic lung disease and thoracic outlet syndrome. No significant differences were found between consultation modalities or visit types.
CONCLUSION: Scholar GPT demonstrated promising alignment with surgeon decisions in structured oncologic cases but showed variability in complex scenarios. While AI may assist in streamlining outpatient workflows, its use should remain complementary to expert clinical judgment. These findings are exploratory and should be interpreted with caution given the small sample size and single-centre, one-week design.</t>
  </si>
  <si>
    <t>A recent study comparing physicians and large language models on clinical reasoning tasks has received widespread attention. In this News and Perspectives article, JMIR Correspondent Shalini Kathuria Narang speaks to one of the study's researchers and reports on the real-world implications that can and cannot be drawn from its findings.</t>
  </si>
  <si>
    <t>BACKGROUND: With advancements in large language model (LLM) technology, generative artificial intelligence (AI) has shown transformative potential in healthcare, particularly in optimizing clinical workflows through data integration and semantic reasoning for clinical decision support (CDS). However, existing AI models primarily rely on logical deductions from standardized guidelines, and their effectiveness in complex, high-risk clinical scenarios remains to be further validated. This study evaluates the CDS efficacy of DeepSeek R1 and ChatGPT-4 o1 in real-world oncology diagnosis and treatment settings, assessing the accuracy and adaptability of their recommendations through a multidimensional framework.
METHODS: A time-sequenced, chain-structured clinical question set was developed based on real oncology cases. Responses from DeepSeek R1 and ChatGPT-4 o1 were independently generated and blindly evaluated for accuracy and feasibility by four oncology experts. Statistical analysis and visualization were performed using Prism GraphPad 10.0.
RESULTS: Both DeepSeek R1 and ChatGPT-4 o1 demonstrated overall competent performance in oncology CDS, with no significant differences compared to human clinicians. Evaluations using a clinical decision quality assessment scale indicated robust performance for both models. Subgroup analysis revealed that DeepSeek R1 outperformed in medical humanistic care, while ChatGPT-4 o1 excelled in readability. No statistical differences were observed between the two models in knowledge accuracy, test rationality, or medication standardization.
CONCLUSION: Generative AI models such as DeepSeek R1 and ChatGPT-4 o1 exhibit comprehensive capabilities in oncology CDS comparable to clinicians, suggesting potential clinical utility. However, AI reliability in complex cases requires improvement and cannot yet replace physicians' expertise. Future research should prioritize multimodal knowledge integration and ethical oversight to enhance AI's role in optimizing diagnostic efficiency and humanistic care quality.</t>
  </si>
  <si>
    <t>OBJECTIVE: Large language models (LLMs) are currently abundant and diverse, yet clinicians lack clarity on top performers, with uncertainty about general LLMs' expertise in musculoskeletal rehabilitation. This study aims to investigate the potential and correctness of LLMs in clinical application, and to evaluate whether LLMs could assist primary rehabilitation therapists to prepare for rehabilitation examination.
METHOD: 8 primary doctors and therapists tested 10 LLMs in the first test, 5 senior doctors and therapists assessed answers in the second test, and 5 primary therapists acted as examinees in the third test. We assessed the quality of case analysis based on six different dimensions, including Case Understanding, Clinical Reasoning, Primary Diagnosis, Differential Diagnosis, Treatment Plan Accuracy and Safety, and Guidelines &amp; Consensus.
RESULTS: In the first test, only ERNIE Bot X1 Turbo and Doubao 1.5 pro had accuracy rates of over 90%, and Chinese LLMs had significantly fewer incorrect questions than English LLMs (9.6% vs. 14.8%, P &amp;lt; 0.001). In the second test, Doubao 1.5 pro achieved relatively high scores in both cases, and LLMs gained high scores in "Case understanding", "Clinical Reasoning" and "Diagnosis". In the third test, primary therapists achieving a mean accuracy rate of 76.9%, and Doubao 1.5 pro improved its accuracy rates to 85.8%.
CONCLUSIONS: Doubao 1.5 pro possessed competent ability and application prospects, and was assessed as the best LLM for answering musculoskeletal rehabilitation questions. We also demonstrated that the response quality of local-language LLMs was significantly better than that of English LLMs in answering localized language questions.</t>
  </si>
  <si>
    <t>PURPOSE: Bayesian networks (BNs) are valuable for clinical decision support due to their transparency and interpretability. However, BN modelling requires considerable manual effort. This study explores how integrating large language models (LLMs) with retrieval-augmented generation (RAG) can improve BN modelling by increasing efficiency, reducing cognitive workload, and ensuring accuracy.
METHODS: We developed a web-based BN modelling service that integrates an LLM-RAG pipeline. A fine-tuned GTE-Large embedding model was employed for knowledge retrieval, optimised through recursive chunking and query expansion. To ensure accurate BN suggestions, we defined a causal structure for medical idioms by unifying existing BN frameworks. GPT-4 and Mixtral 8x7B were used to handle complex data interpretation and to generate modelling suggestions, respectively. A user study with four clinicians assessed usability, retrieval accuracy, and cognitive workload using NASA-TLX. The study demonstrated the system's potential for efficient and clinically relevant BN modelling.
RESULTS: The RAG pipeline improved retrieval accuracy and answer relevance. Recursive chunking with the fine-tuned embedding model GTE-Large achieved the highest retrieval accuracy score (0.9). Query expansion and Hyde optimisation enhanced retrieval accuracy for semantic chunking (0.75 to 0.85). Responses maintained high faithfulness ( ≥ 0.9). However, the LLM occasionally failed to adhere to predefined causal structures and medical idioms. All clinicians, regardless of BN experience, created comprehensive models within one hour. Experienced clinicians produced more complex models, but occasionally introduced causality errors, while less experienced users adhered more accurately to predefined structures. The tool reduced cognitive workload (2/7 NASA-TLX) and was described as intuitive, although workflow interruptions and minor technical issues highlighted areas for improvement.
CONCLUSION: Integrating LLM-RAG into BN modelling enhances efficiency and accuracy. Future work may focus on automated preprocessing, refinements of the user interface, and extending the RAG pipeline with validation steps and external biomedical sources. Generative AI holds promise for expert-driven knowledge modelling.</t>
  </si>
  <si>
    <t>BACKGROUND: Clinical decision-making training in operative dentistry commonly relies on real or standardized patients to develop undergraduate students' ability to deliver safe, effective, and patient-centered care. However, training with real or standardized patients can be limited in scalability, cost-effectiveness, and accessibility. Large language models, with their human-like language capabilities, may have the potential to simulate patients in clinical encounters and help overcome some limitations associated with traditional training approaches.
OBJECTIVE: This study aimed to evaluate the feasibility of using large language model-based standardized virtual patients to support undergraduate dental students' clinical decision-making training in operative dentistry.
METHODS: This mixed methods cross-sectional feasibility study was conducted during a simulation-based clinical decision-making training session in the Operative Dentistry and Cariology course at the College of Dentistry, King Saud bin Abdulaziz University for Health Sciences, Riyadh, Saudi Arabia. Eligible participants were second-year undergraduate dental students enrolled in the course. A convenience sampling approach was used, with all eligible students (N=50) invited to participate. A total of 41 students completed the study, 23 (56%) of whom were male. The students were divided into 8 groups. Each group interacted with 2 standardized virtual patients powered by ChatGPT-4o (OpenAI) through the Chatbase platform to complete comprehensive history-taking and then reviewed the standardized virtual patients' intraoral photographs and bitewing radiographs. For each standardized virtual patient, students as a group recorded diagnoses, performed a risk assessment, and formulated a treatment plan. Students then completed the Student Satisfaction and Self-Confidence in Learning questionnaire. The quality of the standardized virtual patient responses and overall dialogue realism were evaluated using the Dialogue Authenticity Scale. The dialogues were also thematically analyzed to identify authenticity-undermining response features and explore their context and underlying causes.
RESULTS: Students perceived the simulation-based training session positively, with all questionnaire items showing high median scores (4.00-5.00 on a 5-point scale), and both item-level IQRs and 95% CIs spanning no more than 1.0 scale point. In addition, standardized virtual patient responses were largely authentic, with an overall median authenticity rating of 4.50 (IQR 4.00-5.00; 95% CI 4.00-5.00) on a 6-point scale across all interactions. However, several authenticity-undermining response features were identified, including responses that were inconsistent with typical human behavior, contained information beyond a patient's likely knowledge, or were factually incorrect.
CONCLUSIONS: This proof-of-concept study supports the feasibility of implementing large language model-based standardized virtual patients in undergraduate simulation-based clinical decision-making training in operative dentistry. In a dental context where this application has been only minimally evaluated, this study provides early evidence of positive student perceptions, acceptability, and largely authentic dialogue, while also identifying important performance limitations. Further research is warranted to optimize performance and to evaluate the educational effectiveness of this approach in improving undergraduate students' clinical skills and knowledge.</t>
  </si>
  <si>
    <t>BACKGROUND: The increasing prevalence of cannabis use has motivated researchers to develop computational behavioral models that predict usage patterns and related health impacts in naturalistic environments. However, the opaque nature of many artificial intelligence (AI) systems limits users' ability to interpret outputs and undermines trust. Existing explainable artificial intelligence techniques often remain overly technical and do not account for the confusion or frustration clinicians may experience when interpreting complex model explanations.
OBJECTIVE: We propose and evaluate an empathic clinical decision support system (empathic-CDSS) that integrates large language models (LLMs) with real-time emotion recognition and explainability modules. The goal is to provide transparent, adaptive, and emotionally attuned explanations that enhance interpretability, user confidence, and trust in AI-assisted clinical decision-making.
METHODS: Our empathic-CDSS integrates explainable artificial intelligence, causal inference, and affective computing within an interactive LLM-driven framework. Users' affective states were inferred using the circumplex model of affect, which characterizes emotions along 2 dimensions: valence (the degree of pleasure or displeasure) and arousal (the level of physiological activation or energy). Based on the captured emotional signals, the system dynamically adjusts the tone, structure, style, and complexity of its explanations generated by a fine-tuned LLM, enabling personalized and plain-language explanations. A total of 33 participants with diverse medical and technical backgrounds engaged with the system through guided evaluation tasks and postsession assessments to evaluate 6 dimensions of user-centered questions: usability, personalization and relevance of insights, clarity and comprehensibility, system benefits, satisfaction, and trust and reliability.
RESULTS: Our empathic-CDSS effectively generated personalized and transparent explanations that revealed the causal reasoning behind model predictions while enhancing users' emotional engagement and trust in the system's decision logic. Continuous, affect-based feedback enabled the system to dynamically adapt explanation delivery to individual user needs. Participants reported significantly improved usability, clarity, satisfaction, and trust compared with a baseline clinical decision support system without emotion adaptation. Improvements were also observed across additional evaluation dimensions, including personalization and perceived system benefits, supporting the feasibility and added value of integrating empathy-aware communication into AI-driven clinical decision support.
CONCLUSIONS: This study introduces a transparent, trustworthy, and emotionally adaptive framework for AI-assisted prediction and clinical decision support. By uniting causal reasoning, affective sensing, and LLM-based natural-language explanations, the empathic-CDSS offers a novel direction for developing emotionally intelligent and user-centered AI systems, with potential applications in behavioral monitoring and personalized interventions, including cannabis use and related health domains.</t>
  </si>
  <si>
    <t>BACKGROUND: Adherence to guideline-based colonoscopy surveillance intervals remains suboptimal. Large language models (LLMs) show promise for automating interval assignment, but prior studies relied on proprietary models and have variably assessed generalizability. We developed and externally validated a clinical decision support system (CDS) that integrates locally deployable, open-source LLM-based variable extraction with a rules engine that encodes the 2020 U.S. Multi-Society Task Force (USMSTF) guidelines.
METHODS: We assembled development (n = 256), internal (n = 450), and external validation (n = 415) cohorts of colonoscopy-pathology dyads. We developed a three-stage CDS including: (1) LLM-based extraction of diagnosis-bearing sections from pathology reports, (2) LLM-based extraction of surveillance-relevant variables, and (3) deterministic assignment of surveillance intervals using USMSTF logic. Seven open-source LLMs (3.8-32B parameters) were benchmarked; the highest-performing model by macro-averaged F1 score was locked prior to validation. The primary outcome was guideline-concordant interval assignment (target, 90%); secondary outcomes included extraction performance and hallucination rate.
RESULTS: The best-performing open-source model, Gemma-27B-Instruct (macro-F1: 0.992), was locked. The CDS achieved 94.0% guideline-concordant surveillance interval assignment in internal validation (95% CI, 91.8-96.0%; κ = 0.92 [95% CI, 0.89-0.95]) and 92.8% concordance in external validation (95% CI, 90.1-95.2%; κ = 0.88 [95% CI, 0.84-0.91]). Misclassifications were primarily due to adenoma miscounting and diagnostic biopsies misinterpreted as resections. Hallucination-related errors occurred in fewer than 1% of cases.
CONCLUSION: We report an externally validated, hybrid LLM-rules-based CDS for colonoscopy surveillance that achieves &gt;90% concordance while preserving transparency, auditability, and guideline traceability.</t>
  </si>
  <si>
    <t>BACKGROUND This study evaluates the diagnostic performance of 3 prominent artificial intelligence (AI)-powered large language models (LLMs) - ChatGPT, Copilot, and Gemini - as AI assistants for the diagnosis of oral lesions and periodontal conditions using comprehensive statistical analysis. MATERIAL AND METHODS A retrograde study was conducted on 385 cases with definite diagnoses from the College of Dentistry, Taibah University, Saudi Arabia. Clinical and radiographic images were presented to each AI model, and the diagnostic performance of the LLMs was evaluated using a 5-point Likert scale across 8 criteria: diagnostic concordance, time efficiency, ease of use, clarity of explanation, comprehensiveness, ability to answer questions, reliability, and diagnostic range. Statistical analysis included descriptive statistics with 95% confidence intervals, Friedman tests, post-hoc pairwise comparisons, correlation analysis, effect size calculations, and reliability assessment using Cronbach's alpha. RESULTS ChatGPT demonstrated superior performance with an overall score of 4.846±0.075, followed by Copilot (4.433±0.163) and Gemini (4.234±0.088). Friedman tests revealed statistically significant differences across all evaluation criteria (P&lt;0.001). Post-hoc analyses showed ChatGPT significantly outperformed both Gemini and Copilot in all criteria. Internal consistency was excellent for all systems (Cronbach alpha: 0.801-0.911). CONCLUSIONS The LLMs, particularly ChatGPT, demonstrate significant potential as reliable AI assistants for oral and periodontal diagnosis. The comprehensive statistical analysis confirms the superior performance of ChatGPT across multiple evaluation dimensions, supporting its potential integration into clinical practice.</t>
  </si>
  <si>
    <t>Artificial intelligence (AI)-driven large language models (LLMs) hold potential for medical applications but face challenges, such as inaccurate or outdated training data. In this study, ZhongdaChat-ED, a personalized medical LLM integrating retrieval-augmented generation (RAG) technology, was developed to enhance erectile dysfunction (ED) counseling and clinical decision-making. The model was built using the open-source Deepseek-r1:32b framework, augmented with two specialized databases: a patient health consultation database and a clinical decision support database updated with real-time medical advancements. Two versions of ZhongdaChat-ED were developed: a Consumer Version for patient-facing health consultations and a Professional Version for clinician support. Performance was evaluated against four commonly used LLMs (ChatGPT4, Copilot, Claude, and Gemini) through simulated clinical consultations and case analyses. Three urologists and three patients assessed responses across various dimensions, including accuracy, human caring, ease of understanding, clinical significance, and informational frontier. The Consumer Version outperformed commonly used LLMs in accuracy (4.77/5), human caring (4.86/5), and ease of understanding (4.88/5) with all P &lt; 0.001. The Professional Version demonstrated significantly higher clinical significance (&gt;85.2% case score rate) and informational frontier scores (4.52/5) than those of other models ( P &lt; 0.001). ZhongdaChat-ED effectively addresses limitations of conventional LLMs by leveraging RAG to integrate real-time, domain-specific data. ZhongdaChat-ED shows promise in enhancing patient health consultation and clinician decision-making for ED, underscoring the value of tailored AI systems in bridging gaps between generalized AI and specialized medical needs. Future work should expand multimodal capabilities and cross-disciplinary integration to broaden clinical utility.</t>
  </si>
  <si>
    <t>INTRODUCTION: Large-language models (LLMs) have demonstrated increasing potential in healthcare, including applications in clinical information retrieval, medical reasoning, and decision support. Autoimmune liver diseases (AILDs), including autoimmune hepatitis, primary biliary cholangitis, primary sclerosing cholangitis, and IgG4-related liver disease, are rare and heterogeneous conditions that often present with nonspecific features and require specialized expertise for accurate diagnosis and management. In resource-limited settings, limited access to hepatology subspecialists may contribute to delayed diagnoses and suboptimal care. Although reasoning-oriented LLMs are designed to support structured clinical inference, their performance on AILD-related tasks has not been systematically evaluated.
AIM: To evaluate and compare the accuracy, safety, readability, comprehensiveness, and diagnostic performance of six large language models for addressing AILD-related clinical questions and real-world cases.
METHOD: We developed 26 clinically relevant questions spanning the key domains of AILDs, including pathogenesis, risk factors, clinical presentation, diagnosis, treatment, and prognosis. Six publicly available LLMs (o1-preview, Claude-3.5-Sonnet, GPT-4o, GPT-4o-mini, GPT-3.5-Turbo, and LLaMA-3.1-405B) generated responses that were independently evaluated by 11 board-certified hepatologists with more than 10 years of specialty experience. Accuracy, safety, readability, comprehensiveness, and clinical helpfulness were assessed by using predefined rating scales. Diagnostic performance was further evaluated in three models (o1-preview, GPT-4o, and GPT-3.5-Turbo) using 21 confirmed real-world AILD cases, with accuracy determined by comparison with gold-standard clinical diagnoses.
RESULTS: Among the six models, the o1-preview demonstrated the highest overall performance. It achieved the greatest proportion of accurate responses (78.3%), the highest mean safety score, and the most favorable readability profile, despite generating the longest responses. Comprehensiveness and helpfulness ratings were also highest for o1-preview. In diagnostic testing, the o1-preview achieved an overall accuracy of 81.0%, outperforming GPT-4o and GPT-3.5-Turbo, particularly in single-entity AILD diagnoses. All models demonstrated reduced diagnostic accuracy for autoimmune hepatitis-primary biliary cholangitis overlap syndrome.
CONCLUSION: Reasoning-based LLMs, particularly o1-preview, demonstrate potential value in supporting clinical information delivery and diagnostic reasoning for AILDs, especially in resource-limited settings. However, LLM outputs should serve as adjunctive support rather than substitutes for specialist judgment. Further domain-specific refinement and multicenter validation are necessary to ensure safe and effective integration into hepatology and clinical pharmacy practices.</t>
  </si>
  <si>
    <t>BACKGROUND: Large language models are increasingly integrated into healthcare for clinical decision support and patient communication. Although these models can pass explicit social bias tests, they may retain implicit biases-latent associations between social groups and attributes-that could influence medical judgment.
OBJECTIVE: To systematically evaluate the presence, magnitude, and behavioral impact of implicit biases in large language models within the medical domain across six high-stakes categories: gender, race, socioeconomic status, health conditions, religion, and healthcare systems.
DESIGN: A descriptive cross-sectional study using a multi-faceted evaluation framework.
SETTING(S): Computational analysis of 10 mainstream global large language models, including proprietary models (ChatGPT-4o, Gemini-2.0-Flash) and open-source models (DeepSeek-V3, Qwen3).
METHODS: We constructed 24 medical bias datasets across six categories. Bias was assessed using three methods: (1) the Large Language Model Word Association Test, a prompt-based method for revealing implicit biases; (2) the Large Language Model Relative Decision Test, a strategy for detecting subtle discrimination in situational decision-making; (3) Paired-Prompt Analysis, used to examine whether implicit associations predict discriminatory decisions.
RESULTS: All 10 models exhibited systematic implicit biases (Mean IAT Bias &gt; 0) across all categories, with the strongest biases observed in Race (Mean = 0.61) and Socioeconomic Status (Mean = 0.56). Advanced reasoning capabilities (Chain-of-Thought) did not significantly reduce bias magnitude. Crucially, stronger implicit associations significantly predicted discriminatory choices in downstream medical decision tasks (p &lt; 0.001).
CONCLUSION: Current safety alignment techniques fail to eliminate implicit biases in large language models within the medical domain. These latent associations translate into biased decision-making, posing risks for health equity. Future development must prioritize representational debiasing over superficial alignment. Furthermore, healthcare professionals must embrace a stance of "AI vigilance": they should critically evaluate algorithmic outputs as fallible "second opinions" rather than objective truths, thereby ensuring that human judgment remains the ultimate safeguard for equitable patient care.</t>
  </si>
  <si>
    <t>BACKGROUND: Therapeutic inertia (TI) remains a critical barrier to optimizing outcomes in multiple sclerosis (MS) and neuromyelitis optica spectrum disorders (NMOSDs).
OBJECTIVE: We evaluated the proficiency of ChatGPT-4o in addressing complex neuro-immunological management challenges compared to practicing neurologists.
METHODS: We conducted a comparative analysis using 21 clinical vignettes derived from a multicenter research framework. Responses from 290 neurologists were benchmarked against ChatGPT-4o, both with and without Retrieval-Augmented Generation (RAG). The primary endpoint was guideline-adherent decision-making at the item level, with the prevalence of TI as a secondary clinical outcome. Scenarios included MS therapy escalation, aquaporin-4-IgG positive NMOSD management, and serum neurofilament light chain integration.
RESULTS: ChatGPT-4o with RAG achieved significantly higher guideline adherence in decision-making than neurologists (80.5% vs. 66.5%; p = 0.001). Multivariable generalized estimating equation models identified ChatGPT-4o as an independent predictor of evidence-based decision-making (Odds ratio 3.17; 95% confidence interval: 2.05-4.88; p &amp;lt; 0.0001). While the model demonstrated a lower propensity for TI overall, performance parity occurred in emerging biomarker scenarios where clinical consensus is still evolving.
CONCLUSIONS: ChatGPT-4o demonstrated superior guideline adherence and reduced TI compared to neurologists. Integrating Large Language Models as clinical decision-support tools may enhance the standardization of neuro-immunological care and serve as a valuable adjunct to mitigate human cognitive biases.</t>
  </si>
  <si>
    <t>Clinical decision support systems (CDSSs) can improve the compliance of therapeutic decisions with clinical practice guidelines (CPGs). However, the rapid evolution of CPGs creates major challenges in keeping CDSS knowledge bases up to date. This study investigates the use of Large Language Models (LLMs) to automate the comparison of breast cancer CPGs over time, focusing on AP-HP (2016), implemented in the DESIREE guideline-based CDSS, and SENORIF (2021-2022). The aim was to automatically identify guideline-derived recommendations in both CPGs and update DESIREE knowledge base accordingly. The top-performing LLM, a fine-tuned Mistral Large model, achieved an average performance (F1 score: 0.49), and many inconsistencies were observed. While fine-tuned LLMs show promising potential for supporting guideline maintenance, they still face significant limitations, highlighting the need for structured CPG formats to ensure reliable CDSS integration.</t>
  </si>
  <si>
    <t>Large language models (LLMs) have demonstrated proficiency in various tasks, yet their effectiveness in a clinical decision support system (CDSS) is evolving. One challenge is their limited ability to perform calculations. This study evaluates a novel method of using a custom math scratchpad to perform domain-specific calculations in interpreting Arterial Blood Gases (ABGs). Three methods are compared: zero-shot prompting (Method 1), prompt engineering with Retrieval-Augmented Generation (RAG) (Method 2), and a combined novel math scratchpad, RAG, and prompt engineering (Method 3). The LLM-integrated CDSS achieved an accuracy rate of 86% (43/50) [confidence interval (CI) 74%-93%] across a dataset of 50 ABG results when utilizing Method 3, compared to 78% (39/50) [CI 65%-87%] for Method 2 and 48% (24/50) [CI 35%-61%] for Method 1. The evaluation demonstrates a math scratchpad's utility in ABG interpretation by overcoming LLMs' calculation limitation. Further testing with real-world patient ABG data is needed.</t>
  </si>
  <si>
    <t>BACKGROUND: Agentic artificial intelligence (AI) systems employing multi-model architectures with iterative reasoning may surpass standard single-model large language models (LLMs) in complex clinical decision-making. Comprehensive comparisons of agentic versus standard LLM deployment against human specialists in critical care remain limited.
OBJECTIVE: This simulation study compared the performance of an agentic system combining GPT-5.0 and Gemini 2.0 Flash against two standard LLMs (Gemini 2.0 Flash and GPT-4o) and human specialists in acid-base disorder interpretation and sepsis management using text-based clinical vignettes.
METHODS: Forty-five clinical vignettes (20 acid-base, 25 sepsis) developed by an independent expert panel were evaluated by: (1) Gemini 2.0 Flash (standard single-turn); (2) GPT-4o (standard single-turn); (3) an agentic system combining GPT-5.0 and Gemini 2.0 Flash with multi-step reasoning and cross-verification; and (4) 20 board-certified physicians. Responses were anonymized and assessed by two blinded graders against pre-established gold standards using an explicit scoring rubric.
RESULTS: For acid-base disorders, the agentic system achieved 91.0% overall accuracy (95% CI 85.2-96.8%), significantly outperforming GPT-4o (78.0%, P = .002), Gemini (74.5%, P &lt; .001), and human specialists (83.0%, P = .038). SSC hour-1 bundle compliance was 96.8% for the agentic system versus 82.4% for GPT-4o, 79.2% for Gemini, and 90.4% for humans (all P &lt; .05). ROC analysis demonstrated superior discrimination for the agentic system (AUC = 0.932) compared to humans (0.856), GPT-4o (0.814), and Gemini (0.786). Subgroup findings in complex case categories are exploratory given small case numbers.
CONCLUSIONS: In this simulation study using text-based clinical vignettes, an agentic AI system combining GPT-5.0 and Gemini 2.0 Flash demonstrated significantly higher performance than standard LLM implementations and human medical specialists in structured tasks of acid-base interpretation and sepsis bundle compliance. These simulation-based findings suggest that agentic architectures may represent a promising direction for structured clinical decision support; prospective validation in real clinical environments with actual patient data is essential before implementation.</t>
  </si>
  <si>
    <t>OBJECTIVE: Large Language Models (LLMs) are increasingly integrated into oncological workflows. This study evaluated and compared the performance of ChatGPT-4o and Gemini 1.5 Pro in TNM staging and treatment planning for head and neck malignancies across diverse anatomical sites.
MATERIALS AND METHODS: A retrospective analysis was performed on 180 patients with head and neck cancer. Clinical data were processed through structured prompts to simulate real-world clinical inquiries. AI-generated TNM stages and treatment protocols were compared against AJCC 8th Edition guidelines and expert multidisciplinary tumor board decisions. The analysis focused on diagnostic accuracy, inter-rater agreement, and the impact of anatomical complexity on model performance.
RESULTS: Both models demonstrated comparable proficiency in TNM staging accuracy (ChatGPT: 75.6%, Gemini: 75.0%), showing substantial agreement with expert standards (x2 = 0.000, p = 1.000). However, a significant divergence was observed in treatment planning; Gemini achieved a 78.9% accuracy rate, significantly outperforming ChatGPT's 71.7% (p=0.043 (x2 = 4.114). Notably, ChatGPT's staging performance was sensitive to tumor localization, with decreased precision in anatomically complex regions such as the oropharynx and paranasal sinuses (p = 0.034, Cramer's V = 0.291). Conversely, Gemini demonstrated more robust spatial reasoning across different subsites.
CONCLUSION: While both LLMs provide reliable staging support, Gemini exhibits superior clinical reasoning in synthesizing multidimensional data into actionable treatment recommendations. However, a staging error rate of 25% remains a critical concern, potentially leading to inappropriate clinical pathways. These models should be viewed as auxiliary tools within an 'augmented intelligence' ecosystem, integrated with imaging and multidisciplinary inputs, rather than independent decision-makers. Strict expert supervision is mandatory to prevent subsite-specific errors from impacting surgical and oncological outcomes.</t>
  </si>
  <si>
    <t>BACKGROUND: The newly developed large language model (LLM) DeepSeek has shown potential for application in other medical fields. However, few systematic studies have assessed its concordance with international expert consensus or compared its performance with leading models such as Gemini 2.0 Pro and ChatGPT-4o in breast cancer.
MATERIALS AND METHODS: A total of 139 consensus questions from the 19th St. Gallen International Breast Cancer Conference (SG-BCC) were included into analysis. Each model was trained to answer each consensus question five times. The DeepSeek model was compared with the expert panel consensus in terms of concordance rate, robustness of the answers, Pearson correlation coefficient r for non-binary questions, and absolute proportion difference for binary questions. At the same time, a horizontal comparison was made with the previous LLMs Gemini 2.0 Pro and ChatGPT-4o.
RESULTS: The overall concordance rate between DeepSeek-V3 and the expert panel consensus was 63.31%, and the average answer robustness (i.e., its self-consistency across repeated queries) of DeepSeek-V3 was 86.69%. In addition, DeepSeek-V3 performed similarly to Gemini 2.0 Pro and ChatGPT-4o in terms of concordance rate of the most frequent answers (p = 0.849). In terms of model robustness, there were significant statistical differences among the models (p &lt; 0.001), with DeepSeek-V3 significantly outperforming Gemini 2.0 Pro (p = 0.005) and ChatGPT-4o (p &lt; 0.001).
CONCLUSIONS: DeepSeek models showed moderate concordance in following the consensus of breast cancer expert panel and showed significant advantages in answer robustness, suggesting that DeepSeek has great application potential in the field of clinical decision-making for breast cancer.</t>
  </si>
  <si>
    <t>PURPOSE: Large language models (LLMs) are increasingly used to provide health-related information, yet their clinical reliability remains uncertain. This study aimed to evaluate the accuracy, comprehensiveness, and readability of AI-based LLMs in providing evidence-based guidance on early maxillary expansion for children in the primary and mixed dentition phases, assessing their potential as trustworthy resources for parental decision-making. MATERIALS AND METHODS: Eight LLMs (DeepSeek V3, Gemini 2.5 Flash, Claude 4.5 Sonnet, MediSearch, Copilot, GPT-5, GPT-4o, and Grok) were tasked with responding to a total of 20 questions reflecting common parental concerns about early maxillary expansion, with 10 questions assigned to each dentition phase (primary and mixed). Responses were evaluated for accuracy and comprehensiveness, and readability was assessed using the Flesch Reading Ease Score (FRES) and Flesch-Kincaid Grade Level (FKGL). Statistical analyses included descriptive statistics and appropriate parametric and non-parametric tests based on data distribution, with significance set at p &lt; 0.05. RESULTS: Significant differences were observed among the LLMs in terms of accuracy, comprehensiveness, and readability (p &lt; 0.001). DeepSeek V3 and Grok achieved the highest scores for both accuracy and comprehensiveness across both dentition phases, with DeepSeek V3 also demonstrating the highest readability in the mixed dentition phase. Copilot, GPT-5, and GPT-4o produced the most readable outputs, as indicated by their highest FRES and lowest FKGL scores, though their content accuracy was comparatively lower. In contrast, MediSearch, Gemini 2.5 Flash, and Claude 4.5 Sonnet showed consistently weaker performance across all evaluated criteria. CONCLUSION: This study concluded that, although some LLMs can offer reliable and understandable information about early maxillary expansion, none consistently excel across all evaluated criteria. In healthcare contexts, integrating scientific accuracy with readability is crucial for supporting informed parental decision-making, enhancing overall health literacy, and strengthening patient–clinician communication. These findings highlight that AI-based LLMs should serve as supplementary tools that support, rather than replace, professional orthodontic guidance.</t>
  </si>
  <si>
    <t>PURPOSE: There is intense interest in the potential for large language models (LLM) to provide clinical decision support. LLMs assisting with regional anesthesiology need to be trusted to promote patient safety and perform well in open-ended, unstructured scenarios. There is an urgent need to evaluate LLMs for clinical hazard detection and assess their performance in a clinically meaningful way that is not captured with traditional LLM medical benchmarks.
METHODS: We conducted an exploratory analysis using twenty prompts with hazardous regional anesthesiology scenarios to assess three popular LLMs on June 27, 2025. Basic ("zero-shot") and more robust ("chain-of-thought") prompting strategies were used to assess the impact of prompt engineering on LLM performance. This combination generated a total of 120 LLM responses. A regional anesthesia review panel scored LLM responses, and a manual review assessed differences in scoring.
RESULTS: No LLM consistently identified hazardous scenarios for regional anesthesiology contained in the prompts to a review panel consensus standard with either prompting method. Overall, Gemini's hazard detection rate (zero-shot: 75%; chain-of-thought: 84%) outperformed both ChatGPT (zero-shot: 56%; chain-of-thought: 50%) and CoPilot (zero-shot: 32%; chain-of-thought: 45%) but still demonstrated significant safety concerns. There was no meaningful improvement in overall LLM performance with chain-of-thought over zero-shot prompting. The review panel achieved consensus scoring of 97% for all scenarios for hazard detection.
CONCLUSION: Hazardous regional anesthesiology scenarios are frequently undetected by LLMs, suggesting they are currently ill-prepared to promote patient safety in a clinical decision support role. Analyzing LLMs with a review panel and open-ended, unstructured scenarios provides clinically relevant detail about LLM strengths and weaknesses not captured with traditional LLM benchmarks.</t>
  </si>
  <si>
    <t>This study presents a comprehensive evaluation of AI diagnostic models across diverse clinical cases sourced from Thieme (77 cases) and Elsevier (48 cases). The dataset spans frequent (42 cases), less frequent (44 cases), and rare (39 cases) conditions, ensuring balanced assessment. Diagnostic performance, treatment recommendation accuracy, and linguistic reliability were compared across multiple state-of-the-art AI systems. Results highlight strong overall diagnostic capabilities, with notable variations across specialties and disease frequencies. While Pediatrics consistently demonstrated the highest performance, Surgery emerged as the most challenging specialty. Among models, GPT-4o achieved superior diagnostic consensus, treatment recommendation accuracy, and linguistic precision, underscoring its clinical utility. The findings provide empirical benchmarks for advancing AI-based medical decision support systems.</t>
  </si>
  <si>
    <t>the development of large language models (LLMs) has also opened new horizons in the healthcare sector. In this study, the potential contributions of large language models to clinical decision support systems (CDSS) are presented in detail. The capabilities of these models, which can be used in critical tasks such as diagnosis, disease prediction and optimization of patient management processes, have been comprehensively analyzed. In the study, general purpose large language models (ChatGPT, Gemma, Meta Llama, Mixtral) and models developed specifically for the healthcare field (BioBART, GatorTron) have been comparatively examined. The performance of the models has been evaluated on the basis of criteria such as semantic similarity, disease prediction accuracy and generalization capacity; MedMCQA and PubMedQA datasets have been utilized in this process. The results clearly reveal the strengths and weaknesses of large language models in the healthcare sector and provide concrete suggestions for their more effective use in clinical applications.</t>
  </si>
  <si>
    <t>The vast amounts of medical data are accessed to support healthcare professionals in better diagnosing and treating their patients. Large language models (LLMs) are incorporated into clinical settings so that they can offer better expectations and enhance decision-making in the bid to eventually benefit patient outcomes from healthcare systems. This paper presents the role of LLMs in clinical decision support using natural language processing (NLP). The paper focuses on implementing LLM with the help of the proposed algorithm using NLP in clinical decision support by tokenization of clinical data. The paper also discusses challenges in the design and implementation of LLMs for healthcare. The accuracy of the system is measured using a confusion matrix and an accuracy of 85% was observed. The major challenges that still have to be addressed better include the need to guarantee accuracy, interpretability, and ethical deployment.</t>
  </si>
  <si>
    <t>Functional Gastrointestinal Disorders (FGIDs) represent some of the most prevalent gastrointestinal conditions worldwide. While first-line pharmacological treatments exist, a significant number of patients—particularly those with stressrelated or psychosomatic symptoms—achieve only limited relief. Traditional Chinese Medicine (TCM) provides a holistic therapeutic alternative with distinct characteristics. This study presents ChatGLM-FGIDs-TCM, a domain-adapted large language model based on the open-source ChatGLM-6B framework. By incorporating Retrieval-Augmented Generation (RAG), a specialized TCM knowledge base, a structured knowledge graph, and terminology normalization through word networks, the model enhances reasoning capabilities and clinical applicability for TCM Clinical Decision Support Systems (TCM-CDSS). Comprehensive evaluations involving both objective tasks with varying difficulty and subjective assessments demonstrate that ChatGLM-FGIDs-TCM substantially outperforms baseline LLMs and exceeds the performance of junior physicians in specific reasoning tasks. The model shows considerable promise for deployment in TCM education, public health initiatives, and initial clinical triage.</t>
  </si>
  <si>
    <t>There are two main barriers to using large language models (LLMs) in clinical reasoning. Firstly, while LLMs exhibit significant promise in Natural Language Processing (NLP) tasks, their performance in complex reasoning and planning falls short of expectations. Secondly, LLMs use uninterpretable methods to make clinical decisions that are fundamentally different from the clinician’s cognitive processes. This leads to user distrust. In this paper, we present a multi-agent framework called ArgMed-Agents, which aims to enable LLM-based agents to make explainable clinical decision reasoning through interaction. ArgMed-Agents performs self-argumentation iterations via Argumentation Scheme for Clinical Discussion (a reasoning mechanism for modeling cognitive processes in clinical reasoning), and then constructs the argumentation process as a directed graph representing conflicting relationships. Ultimately, use symbolic solver to identify a series of rational and coherent arguments to support decision. We construct a formal model of ArgMed-Agents and present conjectures for theoretical guarantees. ArgMed-Agents enables LLMs to mimic the process of clinical argumentative reasoning by generating explanations of reasoning in a self-directed manner. The setup experiments show that ArgMed-Agents not only improves accuracy in complex clinical decision reasoning problems compared to other prompt methods, but more importantly, it provides users with decision explanations that increase their confidence.</t>
  </si>
  <si>
    <t>Increasing data complexity in clinical decision-making processes hinders physicians’ ability to make rapid and accurate decisions. This study proposes an innovative solution to this problem by designing a multi-layered, adaptive Clinical Decision Support System (CDSS) comprising interacting large language model (LLM) agents. The proposed system performs semantic-level information retrieval using a BioBERT-based vector database, enhances information retrieval by accessing up-to-date medical resources via the web, and restructures outputs by activating an adaptive optimization loop in low-confidence situations. Through the structuring of clinical texts, cross-validation of symptom analyses with literature and internet sources, and collaborative data fusion among agents, the system integrates multi-source data and produces consistent decisions. In experiments conducted on the MedQA, PubMedQA, and MedBullets datasets, the system achieved accuracies of 94%, 88%, and 84%, respectively, representing substantial improvements over state-of-the-art methods and demonstrating the significance of the proposed architecture for clinical decision-making reliability. This framework is not merely an information retrieval engine; it is a clinical intelligence partner designed to learn, actively contribute to the decision process, and focus on reliability. In contrast to current CDSS protocols, which frequently depend on static modules or single-agent models, our architecture tackles some of the shortcomings in timeliness, multi-source evidence fusion, and confidence calibration. This originality enables the system to be a next-generation clinical intelligence partner by enabling an unprecedented level of transparency, customizability, and adaptability in real-world decision-making processes.</t>
  </si>
  <si>
    <t>We explore prompt designs for a lightweight integration of a large language model (LLM) into clinical decision support in primary care in Nigeria. The LLM integration is designed to give immediate, actionable “second opinions” to frontline healthworkers on their patient interaction notes. The assessment of a physician serves as a benchmark for the quality of the LLM feedback. A particular challenge was to counter the LLM's tendency to over-recommend laboratory testing, which is more in line with medical practice in high-income countries. We evaluate the ability of a range of prompt engineering approaches to better align the LLM's medical test recommendations with locally appropriate standards of clinical care.</t>
  </si>
  <si>
    <t>Artificial Intelligence (AI) is changing the way healthcare works by helping doctors make better decisions. Large Language Models (LLMs) play a key role in this shift, not only by answering medical questions, but also by actively collecting critical information through follow-up questions. However, effectively applying LLMs to complex Clinical Decision-Making (CDM) tasks remains a challenge. In this paper, we propose AI on Trial– an enhanced framework built on top of MDAgents. It assigns LLMs to work alone or in teams based on the complexity of medical queries. To improve the reliability of responses, we extend the original MDAgent system by incorporating LLM-as-a-Judge, a clinically informed evaluator that scores responses based on quality, completeness, safety and clarity, while also providing the reasoning behind its assessment. This judge also explains its reasoning using Chain-of-Thoughts (CoT’s). We also add a second judge that acts as a team of expert reviewers. It uses four LLM agents to carefully check the response and give a final score and confidence level. This two-step review process makes the system more accurate and trustworthy. Our results show that integrating the multi-agent evaluation with MDAgents improves performance, making it a strong tool for AI-based clinical support.</t>
  </si>
  <si>
    <t>An accurate Alzheimer's Disease (AD) diagnosis is needed for a large community of healthcare providers to allocate resources effectively, guide treatment strategies, and support early preventive care. The robustness of machine learning models in disease prediction is linked to the quality, diversity, and representativeness of the training data used to capture disease complexity. This study explores the use of few-shot learning within Large Language Models (LLMs) to predict patients with Alzheimer's disease. Four large language models, Llama 3.2, Llama 3.3, Qwen 2-Math, and Qwen 2.5, are evaluated. The results highlight the potential of using Llama 3.3 in predicting Alzheimer's disease using few-shot learning. Without applying any fine-tuning process to the large language models, their prediction performance improves when the training samples increase, in conjunction with relying on features that have a significant correlation with AD, represented in a low-dimensional space.</t>
  </si>
  <si>
    <t>This paper investigates voice-based biases in six audio large language models (LLMs) used for surgical recommendations. We evaluated these models on 170 clinical cases, using speech synthesized from 36 distinct voice profiles spanning variations in age, gender, and emotion. Our findings reveal a severe modality bias: surgical recommendations for audio inputs varied by as much as 35% compared to identical text-based inputs, with one model providing 80% fewer recommendations. Further analysis uncovered age disparities of up to 12% between young and elderly voices, which persisted in most models despite chain-of-thought prompting. While explicit reasoning successfully eliminated gender bias, the impact of emotion was not detected due to poor recognition performance. These results demonstrate that audio LLMs are susceptible to making clinical decisions based on a patient’s voice characteristics rather than medical evidence, a flaw that risks perpetuating healthcare disparities. We conclude that bias-aware architectures are essential and urgently needed before the clinical deployment of these models.</t>
  </si>
  <si>
    <t>Traditional Chinese Medicine (TCM) diagnosis, particularly methods like tongue diagnosis, faces significant challenges in subjectivity and scalability. The application of Large Language Models (LLMs) to fundamental TCM tasks, such as syndrome differentiation and prescription generation, is significantly hampered by the difficulty of integrating visual tongue data with clinical text, and by the scarcity of suitable public datasets. To overcome these barriers, we introduce ViTCM-LLM, a novel framework that emulates an expert's diagnostic process by integrating multimodal language modeling with Retrieval-Augmented Generation (RAG). Employing a dual-component architecture, ViTCM-LLM integrates a fine-tuned Qwen2.5-VL model for visual analysis with a Qwen3-based RAG for clinical reasoning. The framework was developed and validated using MedTCM, a new large-scale multimodal dataset that we introduce specifically for advanced TCM research. To properly evaluate our framework's clinical accuracy, which existing metrics fail to capture, we also developed TDEU, a domain-specific evaluation metric. Evaluated using this metric alongside standard benchmarks, our comprehensive experiments on MedTCM demonstrate that ViTCM-LLM significantly outperforms leading models, including GPT-4o and Gemini 2.5 Flash. These findings not only establish the feasibility of a generalizable tongue diagnosis model but also validate the critical role of integrating visual data for advanced TCM diagnostics. The code and data can be found at https://github.com/jw-chae/ViTCM_LLM.</t>
  </si>
  <si>
    <t>Clinical Decision Support Systems (CDSS) have become an indispensable element in modern healthcare delivery by providing clinicians with evidence-based recommendations that enhance diagnostic accuracy, facilitate treatment planning, and ultimately enhance patient outcomes. Traditional CDSS implementations typically depend on manually curated clinical practice guidelines and domain ontologies, which are encoded in Structured Query Language (SQL) or rule-based formats. While these approaches ensure transparency and traceability, they suffer from two major limitations: (i) the labor-intensive process of converting narrative guidelines into machine- executable knowledge, and (ii) the delay between publication of new clinical evidence and its integration into the system. Moreover, as the volume of biomedical literature grows exponentially, these bottlenecks compromise the scalability and timeliness of CDSS deployments in rapidly evolving clinical domains. Recent advances in large language models (LLMs) and retrieval- augmented generation (RAG) have opened a compelling approach to alleviating these limitations by automating the extraction, validation, and integration of novel clinical evidence. However, indiscriminate application of LLMs to unstructured clinical guideline texts may yield hallucinations, inconsistencies, and unsupported assertions that jeopardize patient safety. To mitigate these hazards, it is imperative to develop a robust provenance- and- alignment framework that systematically evaluates, organizes, and integrates new insights with preexisting guideline repositories.</t>
  </si>
  <si>
    <t>This editorial presents an optimistic yet cautious perspective on the development, deployment, and regulation of large language models (LLMs) in the field of medicine. It is essential to strike a balance between embracing the benefits of artificial intelligence-driven solutions and preserving the human touch that is vital for providing compassionate care. The exponential growth of medical data has paved the way for the integration of LLMs into healthcare, offering unprecedented opportunities to enhance clinical decision-making and alleviate physicians' workloads. Recently, LLMs have exhibited remarkable potential across various clinical scenarios, including streamlining diagnostic processes, optimizing radiology reports, and providing personalized treatment recommendations. However, the implementation of LLMs in healthcare is not without its challenges. Issues such as the scarcity of high-quality annotated data, privacy concerns, and the risk of generating misleading or overconfident information are significant hurdles that must be addressed. Moreover, while LLMs can replace certain basic tasks traditionally performed by humans, it is crucial to recognize that senior clinicians play an irreplaceable role in complex decision-making and providing emotional support to patients. By harnessing the power of LLMs to augment human capabilities while maintaining essential human elements within healthcare, we might shape a future where artificial intelligence and human intelligence coexist harmoniously. Prioritizing ethical development and deployment for artificial intelligence, empowering healthcare professionals, and safeguarding patient privacy will be key to realizing the full potential of LLMs in revolutionizing healthcare delivery. Through ongoing research, collaboration, and adaptation, responsible integration of LLMs holds promise for elevating both quality and accessibility globally, ultimately creating a more efficient, personalized, and patient-centric healthcare system.</t>
  </si>
  <si>
    <t>Recently, large language models (LLMs) have been increasingly utilized for decision support across various domains. However, due to their probabilistic nature and diverse learning influences, LLMs can sometimes generate inaccurate or fabricated information, a phenomenon known as "hallucination". This issue is particularly problematic in fields like medical diagnosis, where accuracy is crucial and the margin for error is minimal. The risk of hallucination is exacerbated when patient data are incomplete or vary across different clinical departments. Consequently, using LLMs directly for clinical decision support presents significant challenges. In this paper, we introduce ProCDS, a system that integrates Prolog-based rule diagnostics with LLMs to enhance the precision of clinical decision support. ProCDS begins by converting medical protocols into a set of rules and patient information into facts. Then, we design an update cycle to extract and update related facts and rules due to possible discrepancies and missing patient information. After that, we perform a logical inference using the Prolog engine and acquire the response. If the Prolog engine cannot produce certain results, ProCDS would perform another iteration of facts and rules update to fix the potential mismatch and perform logical inference again. Through this iterative neuro-symbolic integrated process, ProCDS can perform transparent and accurate clinical decision support. We evaluated ProCDS in Obstructive Sleep Apnea Hypopnea Syndrome (OSAHS) real-world clinical scenarios and other logical reasoning benchmarks, achieving high accuracy and reliability in our results. Our project page is available at: https://github.com/testlbin/procds.</t>
  </si>
  <si>
    <t>Recent advancements in Large Language Models (LLMs) have positioned them as powerful tools for clinical decision-making, with rapidly expanding applications in healthcare. However, concerns about bias remain a significant challenge in the clinical implementation of LLMs, particularly regarding gender and ethnicity. This research investigates the evaluation and mitigation of bias in LLMs applied to complex clinical cases, focusing on gender and ethnicity biases. We introduce a novel Counterfactual Patient Variations (CPV) dataset derived from the JAMA Clinical Challenge (1). Using this dataset, we built a framework for bias evaluation, employing both Multiple Choice Questions (MCQs) and corresponding explanations. We explore prompting with eight LLMs and fine-tuning as debiasing methods. Our findings reveal that addressing social biases in LLMs requires a multidimensional approach as mitigating gender bias can occur while introducing ethnicity biases, and that gender bias in LLM embeddings varies significantly across medical specialities. We demonstrate that evaluating both MCQ response and explanation processes is crucial, as correct responses can be based on biased reasoning. We provide a framework for evaluating LLM bias in real-world clinical cases, offer insights into the complex nature of bias in these models, and present strategies for bias mitigation.</t>
  </si>
  <si>
    <t>This study examines clinician interactions with a Knowledge Graph (KG)-enhanced Large Language Model (LLM) for diagnostic support, with an emphasis on the rare condition pseudohypoparathyroidism (PHP). Ten medical professionals engaged with simulated diagnostic scenarios, using the KG-enhanced LLM to support reasoning and validate differential diagnoses. Evaluation included basic model performance (RAGAS = 0.85; F1 = 0.79) and clinician-centered outcomes, such as diagnostic conclusions, confidence, adherence, and efficiency. Results show the tool was most valuable for rare or uncertain cases, increasing clinician confidence and supporting reasoning, while familiar cases elicited selective adoption with minimal AI engagement. Participant feedback indicated generally high usability, accuracy, and relevance, with most reporting improved efficiency and trust. Statistical analysis confirmed that AI assistance significantly reduced time-to-diagnosis (t(8)=4.99, p=0.001, Cohen's dz=1.66, 95% CI [73.8, 197.2]; Wilcoxon W=0.0, p=0.0039). These findings suggest that KG-enhanced LLMs can effectively augment clinician judgment in complex cases, serving as reasoning aids or educational tools while preserving clinician control over decision-making. The study emphasizes evaluating AI not only for accuracy, but also for practical utility and integration into real-world clinical workflows.</t>
  </si>
  <si>
    <t>Integration of artificial intelligence (AI) into clinical decision support systems (CDSS) poses a socio-technological challenge that is impacted by usability, trust, and human-computer interaction (HCI). AI-CDSS interventions have shown limited benefit in clinical outcomes, which may be due to insufficient understanding of how health-care providers interact with AI systems. Large language models (LLMs) have the potential to enhance AI-CDSS, but haven't been studied in either simulated or real-world clinical scenarios. We present findings from a randomized controlled trial deploying AI-CDSS for the management of upper gastrointestinal bleeding (UGIB) with and without an LLM interface within realistic clinical simulations for physician and medical student participants. We find evidence that LLM augmentation improves ease-of-use, that LLM-generated responses with citations improve trust, and HCI varies based on clinical expertise. Qualitative themes from interviews suggest the perception of LLM-augmented AI-CDSS as a team-member used to confirm initial clinical intuitions and help evaluate borderline decisions.</t>
  </si>
  <si>
    <t>This comprehensive review critically evaluates the integration of visual-language reasoning large language models (VL-LLMs) into primary care, with a focus on their transformative potential in medical image analysis, clinical report interpretation, and multimodal decision support systems. By synthesizing advances foundational models such as CLIP, FLAVA, and BLIP with clinical datasets spanning diabetic retinopathy, pulmonary CT analysis, and volumetric segmentation, this work systematically examines how VL-LLMs can bridge the gap between visual diagnostics and natural language processing in clinical workflows. The key challenges identified include mitigation of data biases, improved model explainability, and practical barriers to real-world deployment. The review proposes actionable recommendations for future research, advocating for interdisciplinary collaboration, the establishment of standardized evaluation frameworks, and the prioritization of ethical AI development to ensure equitable clinical translation.</t>
  </si>
  <si>
    <t>integration of Large Language Models (LLMs) into clinical decision support systems represents a significant advancement in healthcare informatics. This study presents a comprehensive evaluation framework for benchmarking LLMgenerated dental treatment recommendations using BERT Score as the primary semantic similarity metric. We evaluated Claude Opus 4.5 as a Clinical Decision Support System (CDSS) across 116 dental case reports extracted from the Case Reports in Dentistry journal (2024-2025), spanning nine dental specialties. The BERT Score was calculated using the RoBERTa-large model to measure semantic alignment between AI-generated treatment plans and gold-standard published treatments. Results demonstrated strong semantic alignment with a mean BERT Score F1 of 0.8199 with a standard deviation of 0.0144 (95 per cent confidence interval: 0.8172-0.8225), significantly exceeding the 0.80 threshold (t = 14.90, p &lt; 0.001, d = 1.38). Cross-specialty analysis revealed consistent performance across all nine dental domains (Kruskal-Wallis H = 3.07, p = 0.879), indicating robust generalizability. A significant negative correlation was observed between BERT Score and response time (rho =-0.371, p &lt; 0.001), suggesting a speed-accuracy trade-off in LLM reasoning. This study contributes a reproducible benchmarking methodology for evaluating LLM performance in specialized clinical domains and demonstrates the potential of BERT Score as a scalable evaluation metric for AI-generated clinical text.</t>
  </si>
  <si>
    <t>Reconstructing cognitive processes during medical decision-making tasks from multimodal neuroimaging data is a significant challenge for both artificial intelligence and clinical research. Unlike prior work that relies on sequential pipelines, which are prone to losing domain-specific semantic relationships and thus to lower accuracy, higher cognitive load, and diminished interpretability in specialized domains like acupuncture, this study presents the Knowledge Graph-Enhanced Neurocognitive Framework. Grounded in the integrative decision-making mechanisms of acupuncture, this framework combines Functional Near-Infrared Spectroscopy (fNIRS) and eye-tracking signals with canonical literature and clinical knowledge. This multimodal approach preserves fine-grained semantics while substantially reducing cognitive burden and enhancing model transparency, offering a new technical route for Artificial Intelligence (AI) assisted acupuncture decisions. The framework integrates hierarchical neural features extracted from fNIRS and eye-tracking with treatment patterns from the medical literature using a multi-feature fusion approach. The experiment involved randomly assigning 60 participants to either an AI-assisted or a non-AI-assisted group. The AI group used a Large Language Models (LLMs) to assist with acupoint compatibility prescriptions based on medical records, while the non-AI group performed manual selection without LLMs support. Both groups were assessed using fNIRS and eye-tracking during acupoint compatibility tasks. The framework achieved 72% accuracy in treatment compatibility tasks, fNIRS data indicated distinct cortical activation patterns, with the AI group demonstrating less activation in regions associated with cognitive load. Eye-tracking data revealed that the AI group exhibited shorter fixation durations and fewer attentional adjustments, suggesting enhanced cognitive efficiency. Our approach aims to enhance the application of brain-inspired AI in clinical settings, specifically targeting the intricate and dynamic nature of acupuncture treatment decisions.</t>
  </si>
  <si>
    <t>Large language models (LLMs) rapidly transform healthcare by automating tasks, streamlining administration, and enhancing clinical decision support. This rapid review assesses current and emerging applications of LLMs in diagnostic-related group (DRG) assignment and clinical decision support systems (CDSS), with emphasis on radiology and nuclear medicine. Evidence shows that LLMs, particularly those tailored for medical domains, improve efficiency and accuracy in DRG coding and radiology report generation, providing clinicians with actionable, context-sensitive insights by integrating diverse data sources. Advances like retrieval-augmented generation and multimodal architecture further increase reliability and minimize incorrect or misleading results that AI models generate, a term that is known as hallucination. Despite these benefits, challenges remain regarding safety, explainability, bias, and regulatory compliance, necessitating ongoing validation and oversight. The review prioritizes recent, peer-reviewed literature on radiology and nuclear medicine to provide a practical synthesis for clinicians, administrators, and researchers. While LLMs show strong promise for enhancing DRG assignment and radiological decision-making, their integration into clinical workflows requires careful management. Ongoing technological advances and emerging evidence may quickly change the landscape, so findings should be interpreted in context. This review offers a timely overview of the evolving role of LLMs while recognizing the need for continuous re-evaluation.</t>
  </si>
  <si>
    <t>Emergency department (ED) overcrowding and the complexity of rapid decision-making in critical care settings pose significant challenges to healthcare systems worldwide. While clinical decision support systems (CDSS) have shown promise, the integration of large language models (LLMs) offers new possibilities for enhancing triage accuracy and clinical decision-making. This study presents an LLM-driven CDSS designed to assist ED physicians and nurses in patient triage, treatment planning, and overall emergency care management. We developed a multi-agent CDSS utilizing Llama-3-70b as the base LLM, orchestrated by CrewAI and Langchain. The system comprises four AI agents emulating key ED roles: Triage Nurse, Emergency Physician, Pharmacist, and ED Coordinator. It incorporates the Korean Triage and Acuity Scale (KTAS) for triage assessment and integrates with the RxNorm API for medication management. The model was evaluated using the Asclepius dataset, with performance assessed by a clinical emergency medicine specialist. The CDSS demonstrated high accuracy in triage decision-making compared to the baseline of a single-agent system. Furthermore, the system exhibited strong performance in critical areas, including primary diagnosis, critical findings identification, disposition decision-making, treatment planning, and resource allocation. Our multi-agent CDSS demonstrates significant potential for supporting comprehensive emergency care management. By leveraging state-of-the-art AI technologies, this system offers a scalable and adaptable tool that could enhance emergency medical care delivery, potentially alleviating ED overcrowding and improving patient outcomes. This work contributes to the growing field of AI applications in emergency medicine and offers a promising direction for future research and clinical implementation.</t>
  </si>
  <si>
    <t>Large language model-based agents have shown considerable potential in medical decision-making. However, existing approaches often rely on rigid, sequential workflows, limiting their ability to adapt to the dynamic nature of real-world clinical practice. To address this limitation, we propose a clinical agentic workflow, termed CDAFlow, which comprises three core components: clinical state transition, knowledge-enhanced decision-making, and memory management. The clinical state transition module employs a finite state machine to model the clinical decision-making process, enabling dynamic patient state transitions through continuous evaluation of task progress. The knowledge-enhanced decision-making module introduces a two-stage filtering strategy, in which relevant medical knowledge is first retrieved from a structured medical knowledge base and then transformed into logical rules, retaining only the information aligned with the patient's clinical condition to enhance decision-making. The memory management module maintains long-term memory for medical knowledge and state transition rules, as well as short-term memory for patient information and state transition history. We evaluate CDAFlow on ClinicalBench, which comprises 1,500 cases spanning 24 clinical departments. Experimental results show that CDAFlow achieves state-of-the-art performance, outperforming the best collaborative-experts method by 2.89% and the best single-agent method by 3.35% on the Ace metric. Moreover, we further validate the method's effectiveness in specific sub-processes of clinical workflows.</t>
  </si>
  <si>
    <t>Despite the excellent generalization capabilities of large-scale language models (LLMs), their severe limitations, such as illusions, lack of domain-specific knowledge, and ambiguity in the reasoning process, challenge their direct application to clinical decision support systems (CDSSs). To address these challenges, this study proposes a synergistic joint model that integrates knowledge graphs (KGs) and LLMs to enhance domain-specific knowledge and improve explainability in CDSSs. The proposed model leverages KGs to provide structured, domain-specific insights while utilizing LLMs' generative capabilities to dynamically extract, refine, and expand medical knowledge. This bi-directional interaction ensures that CDSS recommendations remain both clinically accurate and contextually comprehensive. Performance evaluation of the joint model for mental health etiology, stress detection, and emotion recognition tasks of the CDSS showed up to a 12.0% increase in accuracy and an 8.6% increase in F1 score when compared to the standalone LLM model, with additional significant improvements when using the model with medical domain knowledge. Thus, the reliable and up-to-date domain knowledge obtained through the joint model not only improves the task performance of the CDSS, but also provides direct evidence of how such decisions were made. These findings validate the broad applicability and effectiveness of our KG-LLM joint model, highlighting its potential in real-world clinical decision support scenarios.</t>
  </si>
  <si>
    <t>No</t>
  </si>
  <si>
    <t>Yes</t>
  </si>
  <si>
    <t>INCLUDE</t>
  </si>
  <si>
    <t>EXCLUDE</t>
  </si>
  <si>
    <t>abstract absent — conservative include, forward to Phase 2 per guide; title is on-topic (LLMs as next-gen CDSS in cardiovascular diseases)</t>
  </si>
  <si>
    <t>abstract absent — conservative include, forward to Phase 2 per guide; title is on-topic (CDS in retina using LLMs and vision-language models)</t>
  </si>
  <si>
    <t>abstract absent — conservative include, forward to Phase 2 per guide; title on-topic (open-source DeepSeek vs proprietary models in clinical decision making)</t>
  </si>
  <si>
    <t>abstract absent — conservative include, forward to Phase 2 per guide; title on-topic (LLM-assisted differential diagnosis feasibility in dermatology, ChatGPT-5)</t>
  </si>
  <si>
    <t>Number Of Papers without Abstract</t>
  </si>
  <si>
    <t>Paper Number</t>
  </si>
  <si>
    <t>Number of Inclusion</t>
  </si>
  <si>
    <t>Number of Exclusion</t>
  </si>
  <si>
    <t>LLMs for clinical decision-making on 2400 MIMIC patient cases vs physicians</t>
  </si>
  <si>
    <t>LLM (DeepSeek/GPT-4o) benchmarked on clinical decision support over 125 real patient cases</t>
  </si>
  <si>
    <t>LLM on physician clinical reasoning tasks + real-world ER second-opinion study</t>
  </si>
  <si>
    <t>LLM-based CDSS for medication safety, pharmacist co-pilot, 91 error scenarios across 16 specialties</t>
  </si>
  <si>
    <t>LLM+RAG workflow for triage/referral/diagnosis on 2000 MIMIC cases; supports healthcare providers</t>
  </si>
  <si>
    <t>expert-guided LLM (MEREDITH) for precision-oncology treatment recommendations, molecular tumor board</t>
  </si>
  <si>
    <t>LLM agent (Cascade) for hypertension clinical decision support, external patient validation cohort vs physicians</t>
  </si>
  <si>
    <t>LLMs evaluated on 80 complex cardiothoracic clinical cases for decision support</t>
  </si>
  <si>
    <t>review of LLMs as CDSS in gastroenterology/hepatology (framework/review paper, included per guide)</t>
  </si>
  <si>
    <t>multimodal LLM-agent framework for personalized HCC treatment recommendations, MRI data, surgeon-evaluated</t>
  </si>
  <si>
    <t>review of LLMs in MS management incl. CDSS for disease-modifying therapy selection</t>
  </si>
  <si>
    <t>LLM clinical decision support for bipolar depression pharmacotherapy, 50 expert-rated vignettes (mental-health topic; not excluded under guide codes)</t>
  </si>
  <si>
    <t>PRISMA systematic review of LLM diagnostic accuracy as CDS in otolaryngology (review included per guide)</t>
  </si>
  <si>
    <t>LLMs vs 1000+ nephrologists on kidney-biopsy clinical decision-making</t>
  </si>
  <si>
    <t>multi-center benchmark of LLMs for CDS in lung-cancer screening, 148 CT reports</t>
  </si>
  <si>
    <t>LLMs vs dedicated diagnostic decision-support system on 36 unpublished clinical cases</t>
  </si>
  <si>
    <t>LLMs/large-reasoning models as decision support in emergency internal medicine, 73 patient cases vs specialists</t>
  </si>
  <si>
    <t>GPT-4 automates HEART score for MACE risk CDS, 601 chest-pain patients vs clinicians</t>
  </si>
  <si>
    <t>benchmarks LLM agent systems on clinical decision tasks (AgentClinic/MIMIC diagnostic simulation)</t>
  </si>
  <si>
    <t>PRISMA-ScR scoping review of LLMs in hypertension care; CDSS is 24% of charted applications (review included per guide)</t>
  </si>
  <si>
    <t>LLMs on 10 pediatric-nephrology clinical cases for decision support, nephrologist-validated (pediatric topic; guide codes do not exclude it)</t>
  </si>
  <si>
    <t>MedHELM evaluation framework with clinical decision support (diagnostic/treatment) as an explicit category, clinician-validated taxonomy</t>
  </si>
  <si>
    <t>CDR-Agent: LLM agents select/apply clinical decision rules from unstructured ED clinical notes</t>
  </si>
  <si>
    <t>LLMs + RAG on acute coronary syndrome guidelines for clinician-facing decision support</t>
  </si>
  <si>
    <t>CPGPrompt converts guidelines into LLM-executable decision support, evaluated on patient vignettes for referral/pathway decisions</t>
  </si>
  <si>
    <t>LLMs enhanced with clinical practice guidelines produce COVID-19 outpatient treatment recommendations on synthetic patient descriptions</t>
  </si>
  <si>
    <t>systematic review of LLM chatbots incl. provider-facing clinical decision support in digestive diseases</t>
  </si>
  <si>
    <t>narrative review of LLMs/CDSSs for ESC cardiology guideline interpretation</t>
  </si>
  <si>
    <t>LLMs for CDS in benign prostatic hyperplasia, 30 questions + 6 real-world cases vs physicians</t>
  </si>
  <si>
    <t>LLMs as decision support in emergency ophthalmology, 73 real cases vs ophthalmologists</t>
  </si>
  <si>
    <t>narrative review of LLMs supporting cancer care incl. clinical decision support (treatment/screening planning)</t>
  </si>
  <si>
    <t>review of LLMs across medical education, clinical decision support, and administration (CDS covered: diagnostic assistance, treatment recommendations)</t>
  </si>
  <si>
    <t>narrative review of metrics for evaluating LLMs in clinical decision-making (108 articles on LLM diagnoses/treatment plans)</t>
  </si>
  <si>
    <t>narrative review of clinical LLM prompt engineering covering diagnostic reasoning and clinical decision support</t>
  </si>
  <si>
    <t>deterministic LLM framework (AnemiaCare HD) for protocol-adherent CDS in hemodialysis anemia, 600 scenarios, nephrologist-assessed</t>
  </si>
  <si>
    <t>RCT of an evidence-based LLM diagnostic decision support system on emergency providers' decision-making</t>
  </si>
  <si>
    <t>LLMs augmenting guideline-based CDSS (OncoDoc2) for breast-cancer treatment, 200 patient summaries, MTB clinicians</t>
  </si>
  <si>
    <t>LLMs for diagnosis + readmission risk stratification (+ ICD coding) on 300 MIMIC-IV discharge summaries; diagnosis/risk are CDS tasks</t>
  </si>
  <si>
    <t>LLMs vs humans on clinical decision support via medical-calculator selection (1009 QA pairs, risk stratification/diagnosis scenarios)</t>
  </si>
  <si>
    <t>evaluates LLM metacognition (MetaMedQA) for reliability of LLM-enhanced clinical decision support systems</t>
  </si>
  <si>
    <t>LLMs for intraoperative decision support in plastic surgery, 32 intraoperative scenarios</t>
  </si>
  <si>
    <t>multi-agent LLM framework to mitigate cognitive biases in clinical diagnosis, 16 misdiagnosis case reports</t>
  </si>
  <si>
    <t>evaluates LLMs producing device-like clinical decision support (FDA-compliance study)</t>
  </si>
  <si>
    <t>scoping review of LLMs as CDSS and clinician perception, oncology focus</t>
  </si>
  <si>
    <t>diagnostic performance of LLMs on 50 ICU critical-illness cases for decision support</t>
  </si>
  <si>
    <t>review of LLM+knowledge-graph integration for medical AI incl. clinical decision support/explainability</t>
  </si>
  <si>
    <t>diagnosis/triage decision support performance of 8 LLMs on 48 clinical vignettes</t>
  </si>
  <si>
    <t>review of LLMs in nuclear medicine incl. clinical decision support</t>
  </si>
  <si>
    <t>clinical decision support of LLMs in endodontic disease, 421 MCQ + 35 complex cases (dentistry topic; not excluded under guide)</t>
  </si>
  <si>
    <t>multimodal LLMs on echocardiogram tasks (EF prediction, AS severity) for cardiovascular decision support</t>
  </si>
  <si>
    <t>retrospective safety evaluation of an EMR-embedded LLM CDSS in 16 Kenyan primary-care clinics, 1469 records, physician panel</t>
  </si>
  <si>
    <t>LLMs augmenting clinician decision-making across specialties/workflow stages, expert-rated</t>
  </si>
  <si>
    <t>evaluates LLM adversarial-hallucination vulnerability during clinical decision support, 300 physician-validated vignettes</t>
  </si>
  <si>
    <t>RAG-LLM agent for explainable spine-surgery recommendations, 200 real cases, 5 spine surgeons</t>
  </si>
  <si>
    <t>PRISMA systematic review of LLMs in colorectal cancer care and clinical decision support, 37 studies</t>
  </si>
  <si>
    <t>adaptive self-query retrieval framework enhancing RAG-LLM clinical decision support</t>
  </si>
  <si>
    <t>LLMs for metastatic prostate cancer treatment recommendations, 238 cases, multicenter oncologist validation</t>
  </si>
  <si>
    <t>LLMs as CDS for colon cancer management, 27 NCCN-based scenarios vs clinician responses</t>
  </si>
  <si>
    <t>fine-tuned LLM for patient-specific CT protocol assignment as CDSS, 800 cases, radiologists</t>
  </si>
  <si>
    <t>LLMs for dry-eye-disease diagnosis/classification/treatment decisions, 100 cases vs ophthalmologists</t>
  </si>
  <si>
    <t>multimodal knowledge-graph RAG-LLM for CDS in pediatric leukemia, expert-evaluated (pediatric topic; not excluded under guide)</t>
  </si>
  <si>
    <t>LLMs vs ML for automated ED triage (ESI) on 1000 MIMIC-IV-ED records; LLM is core component</t>
  </si>
  <si>
    <t>GPT-4o as clinical laboratory test recommender in primary/emergency care, 15 cases vs expert consensus</t>
  </si>
  <si>
    <t>LLM applies PECARN head-injury algorithm on pediatric ED notes (CDS tool development), 122 patients vs PEM physicians (pediatric; not excluded under guide)</t>
  </si>
  <si>
    <t>ProsthetiX-AI LLM-based CDSS for patient-specific prosthetic recommendations, clinician + user evaluated</t>
  </si>
  <si>
    <t>LLMs for decision-making support in herniology, clinician-facing, evaluated by herniology experts and general surgeons</t>
  </si>
  <si>
    <t>methodology to evaluate LLM feasibility in clinical nursing/oncology-nursing decision-making, nurse+AI expert peer review (nurses = licensed clinicians)</t>
  </si>
  <si>
    <t>LLMs vs thrombosis experts on VTE clinical decision-making (and patient education), 3 clinical-decision queries rated by 37 physicians</t>
  </si>
  <si>
    <t>ChatGPT-4 as CDS for initial management of 20 critically ill children (PICU), real cases (pediatric; not excluded under guide)</t>
  </si>
  <si>
    <t>LLM diagnosis generation grounded with UMLS, evaluated on EHR care notes (diagnosis = CDS)</t>
  </si>
  <si>
    <t>LLMs vs 100 physicians on ENT diagnosis/management/referral, 12 clinical vignettes</t>
  </si>
  <si>
    <t>LLMs for neuroimaging CDS (imaging appropriateness), 24 scenarios vs neuroradiologists, ACR criteria</t>
  </si>
  <si>
    <t>guideline-integrated (RAG) LLMs for acute ENT emergency decision support, 12 vignettes, 5 otolaryngologists</t>
  </si>
  <si>
    <t>PRISMA systematic review of generative LLMs on EHR data; 57% of 196 studies are clinical decision support tasks</t>
  </si>
  <si>
    <t>benchmark of LLMs for CDS in headache management, 13 NEJM cases, headache specialists</t>
  </si>
  <si>
    <t>stress-tests harmful LLM clinical decisions under social pressure across 10M+ clinical scenarios</t>
  </si>
  <si>
    <t>review of LLM prompting in radiology covering report generation and clinical decision support</t>
  </si>
  <si>
    <t>LLMs for guideline-based urological decision support in urolithiasis, 105 clinical questions vs urologists</t>
  </si>
  <si>
    <t>LLMs + CDS for perioperative oral-anticoagulant management, 40 scenarios, cardiologists</t>
  </si>
  <si>
    <t>scoping review of LLMs on radiology reports incl. clinical decision support, 69 articles</t>
  </si>
  <si>
    <t>scoping review of LLM-driven generative recommender systems for healthcare decision support (diagnostic/therapeutic recommendations), 61 articles</t>
  </si>
  <si>
    <t>LLMs interpreting caries guidelines for CDS, incl. diagnoses/treatment plans on 3 clinical cases, endodontist-rated (dentistry; not excluded under guide)</t>
  </si>
  <si>
    <t>Cardiology-Chat: RAG + fine-tuned Llama system for cardiac diagnostic reasoning, real clinical cases</t>
  </si>
  <si>
    <t>open-source LLMs for decision support in precision-oncology molecular tumor board prep, expert-evaluated</t>
  </si>
  <si>
    <t>structured prompting for LLM thrombolytic clinical decision support in acute stroke, 3 ischemic-stroke vignettes</t>
  </si>
  <si>
    <t>LLMs as CDS for pancreatic adenocarcinoma using NCCN guidelines, clinical scenarios vs clinician responses</t>
  </si>
  <si>
    <t>LLM-enabled CDS platform for oncology tumor-board prep, 26 oncologists, synthetic breast-cancer cases</t>
  </si>
  <si>
    <t>LLMs' clinical decision support (and patient info) vs gynecologic-oncology guidelines, clinician-perspective questions assessed vs NCCN/ESGO</t>
  </si>
  <si>
    <t>5 LLMs in internal-medicine clinical decision-making, 405 actual cases across 9 subspecialties, senior clinicians</t>
  </si>
  <si>
    <t>RAG-LLM (Mistral/Claude/GPT-4o) for drug-induced liver injury decision support using LiverTox, hepatologist-evaluated (BioBERT only for embeddings; generative LLM is core)</t>
  </si>
  <si>
    <t>6 LLMs for RhD transfusion decision-making, 15 real-world scenarios, transfusion specialists</t>
  </si>
  <si>
    <t>LLMs for clinical case analysis/treatment planning in dental implantology, real-life cases, implant specialists (dentistry; not excluded under guide)</t>
  </si>
  <si>
    <t>Chinese LLMs vs ChatGPT across full clinical workflow, 29 simulated cases (differential/workup/diagnosis/management), vs emergency fellows</t>
  </si>
  <si>
    <t>LLM decision support in pediatric urology, 180 standardized cases, 7 pediatric urologists (patient-education is a secondary phase; pediatric not excluded)</t>
  </si>
  <si>
    <t>openEHR structured data + LLMs for prostate-cancer treatment recommendations, 171 patients vs MDT</t>
  </si>
  <si>
    <t>comprehensive study of social bias in LLMs applied to clinical decision support, 8 LLMs on clinical vignettes</t>
  </si>
  <si>
    <t>evaluates RAG chunking strategies for LLM-based clinical decision support, 30 clinical questions</t>
  </si>
  <si>
    <t>hybrid CDSS (logistic regression + fine-tuned GPT) for depressive-symptom screening from wearable/clinical/environmental data, 2437 adults (mental-health topic; not excluded under guide)</t>
  </si>
  <si>
    <t>10 LLMs vs search engine for CDS in anesthesiology, 10 validated questions, 4 anesthesiologists</t>
  </si>
  <si>
    <t>LLMs vs ESR iGuide CDS for CT referral justification, 6356 patients</t>
  </si>
  <si>
    <t>ChatGPT vs breast radiologists on ACR Appropriateness Criteria for imaging-modality selection, 10 clinical variants</t>
  </si>
  <si>
    <t>prospective pilot of GPT-4o for postoperative neurosurgery CDS in the Gambia, 9 patients, medical officers + nurses</t>
  </si>
  <si>
    <t>5 LLMs for Traditional Chinese Medicine clinical decision-making (syndrome differentiation/treatment), 30 cases, TCM practitioners (clinicians)</t>
  </si>
  <si>
    <t>3 LLMs in CDS on 134 actual clinical cases across 9 disciplines, expert-scored</t>
  </si>
  <si>
    <t>human-supervised LLM CDSS (AIFYA) aligned to Kenya newborn protocols, 550 neonatal cases deployed, neonatologist review</t>
  </si>
  <si>
    <t>LLMs (RAG-GPT) as decision support for head-and-neck cancer, 14 synthetic tumor-board cases, 8 oncologic surgeons</t>
  </si>
  <si>
    <t>LLMs fine-tuned on EHRs for personalized diabetes treatment recommendations (RAG, hospital information system)</t>
  </si>
  <si>
    <t>LLMs in lung-cancer clinical decision-making across 5 clinical domains, 3 thoracic-surgery experts</t>
  </si>
  <si>
    <t>LLM (Scholar GPT) concordance with thoracic surgeons on diagnosis/treatment, 81 real consultations</t>
  </si>
  <si>
    <t>generative LLMs (DeepSeek R1, GPT-4 o1) for oncology CDS on real cases, 4 oncology experts</t>
  </si>
  <si>
    <t>LLMs for CDS in musculoskeletal rehabilitation, clinical case analysis (diagnosis/treatment/safety) evaluated by doctors and therapists</t>
  </si>
  <si>
    <t>empathic LLM-driven CDSS with emotion recognition + explainability for cannabis-use behavioral prediction, user study (n=33)</t>
  </si>
  <si>
    <t>externally validated hybrid LLM + rules CDSS for colonoscopy surveillance intervals, 3 cohorts (n=1121 dyads)</t>
  </si>
  <si>
    <t>LLMs for oral-medicine/periodontal diagnosis from clinical + radiographic images, 385 cases (dentistry; not excluded under guide)</t>
  </si>
  <si>
    <t>ZhongdaChat-ED (DeepSeek-R1 + RAG); Professional version provides clinician-facing ED clinical decision-making, urologist-evaluated case analyses</t>
  </si>
  <si>
    <t>LLMs for autoimmune-liver-disease diagnosis/decision-making, 26 questions + 21 real cases, 11 hepatologists</t>
  </si>
  <si>
    <t>evaluates implicit bias in safety-aligned LLMs on downstream medical decision tasks, 10 LLMs, 24 bias datasets</t>
  </si>
  <si>
    <t>ChatGPT-4o (+RAG) as CDS in MS/NMOSD vs 290 neurologists, 21 clinical vignettes</t>
  </si>
  <si>
    <t>LLM-integrated CDSS for arterial blood gas interpretation, 50 ABG results, math-scratchpad method</t>
  </si>
  <si>
    <t>agentic GPT-5.0/Gemini system vs standard LLMs and physicians in critical-care decision-making, 45 vignettes</t>
  </si>
  <si>
    <t>ChatGPT vs Gemini for head/neck cancer TNM staging + treatment CDS, 180 patients vs tumor board</t>
  </si>
  <si>
    <t>DeepSeek/Gemini/ChatGPT concordance with St. Gallen breast-cancer expert consensus, 139 consensus decision questions</t>
  </si>
  <si>
    <t>expert-panel review of LLMs for hazard detection in regional-anesthesia consults, 20 hazardous scenarios (CDS role)</t>
  </si>
  <si>
    <t>meta-analysis/benchmark of LLMs for clinical decision-making across 125 clinical cases (diagnosis + treatment recommendations)</t>
  </si>
  <si>
    <t>comparative analysis of general + medical LLMs for CDSS (diagnosis, disease prediction, patient management); generative LLMs (ChatGPT/Llama/Mixtral) are core</t>
  </si>
  <si>
    <t>LLM-based system for clinical decision support via NLP tokenization of clinical data, 85% accuracy</t>
  </si>
  <si>
    <t>ChatGLM-FGIDs-TCM: domain-adapted LLM + RAG for TCM clinical decision support (FGIDs), outperforms junior physicians</t>
  </si>
  <si>
    <t>ArgMed-Agents: multi-agent LLM framework for explainable clinical decision reasoning via argumentation schemes</t>
  </si>
  <si>
    <t>adaptive multi-agent LLM CDSS with biomedical RAG + web intelligence; generative LLM agents are core (BioBERT only for retrieval)</t>
  </si>
  <si>
    <t>LLM prompt engineering for medical test recommendations / second opinions to frontline health workers in a Nigerian primary-care clinic, physician benchmark</t>
  </si>
  <si>
    <t>AI on Trial': multi-agent LLM + LLM-as-a-Judge framework for reliable clinical decision-making (MDAgents extension)</t>
  </si>
  <si>
    <t>LLM few-shot learning for Alzheimer's disease prediction as CDS, 4 LLMs on patient features</t>
  </si>
  <si>
    <t>controlled study of audio LLMs producing surgical recommendations on 170 clinical cases (voice-bias evaluation)</t>
  </si>
  <si>
    <t>ViTCM-LLM: multimodal RAG framework (Qwen2.5-VL) for TCM CDS (tongue diagnosis, syndrome differentiation, prescription generation)</t>
  </si>
  <si>
    <t>ProCDS: neuro-symbolic Prolog + LLM for precise clinical decision support, evaluated on real OSAHS clinical scenarios</t>
  </si>
  <si>
    <t>evaluates/mitigates gender-ethnicity bias in LLMs for clinical decision-making using Counterfactual Patient Variations from JAMA Clinical Challenge, 8 LLMs</t>
  </si>
  <si>
    <t>knowledge-graph-enhanced RAG-LLM for diagnostic support (pseudohypoparathyroidism), 10 clinicians, time-to-diagnosis outcomes</t>
  </si>
  <si>
    <t>RCT of LLM-augmented AI-CDSS for upper GI bleeding management, physicians + medical students in clinical simulation</t>
  </si>
  <si>
    <t>review of visual-language reasoning LLMs for primary-care multimodal clinical decision support</t>
  </si>
  <si>
    <t>benchmarks Claude Opus 4.5 (generative LLM) as dental CDSS on 116 case reports; 'BERT Score' is the evaluation metric, not the model, so CO2 passes (dentistry not excluded)</t>
  </si>
  <si>
    <t>LLM assists acupoint-compatibility prescriptions from medical records (acupuncture CDS), 60 participants, fNIRS/eye-tracking cognition study</t>
  </si>
  <si>
    <t>rapid review of LLMs in DRG assignment and CDSS for radiology/nuclear medicine (CDS is co-primary)</t>
  </si>
  <si>
    <t>multi-agent LLM CDSS (Llama-3-70b) for KTAS triage + treatment planning in EDs, specialist-evaluated</t>
  </si>
  <si>
    <t>CDAFlow: LLM agentic workflow for clinical decision-making, ClinicalBench 1500 cases across 24 departments</t>
  </si>
  <si>
    <t>synergistic knowledge-graph + LLM for XAI-based CDSS (mental-health etiology/stress/emotion tasks; mental-health not excluded under guide)</t>
  </si>
  <si>
    <t>Borderline</t>
  </si>
  <si>
    <t>CO3/PO1 doubt: study is general SCI question-answering assessed with a patient-information quality tool (EQIP), no patient-specific cases; title claims CDS so forward to full text</t>
  </si>
  <si>
    <t>Intervention is an AI patient-simulator + feedback tool to train medical students'; matches 'undergraduate medical education tool' exclusion, not clinician use in a professional workflow</t>
  </si>
  <si>
    <t>Models are Italian/Multilingual BERT (encoder-only legacy transformer doing syncope classification), with no generative LLM/LMM; guide's CO2 explicitly excludes BERT-only systems despite the paper self-labeling as 'LLM'.</t>
  </si>
  <si>
    <t>This is a JMIR 'News and Perspectives' journalism piece interviewing a researcher about another study, not a primary study, review, or framework contributing to the LLM-CDSS map.</t>
  </si>
  <si>
    <t>LLM-based virtual patients to support undergraduate dental students' clinical-decision-making TRAINING.</t>
  </si>
  <si>
    <t>LLMs evaluated as trustworthy resources for PARENTAL decision-making / health literacy about children's early maxillary expansion; audience is parents/caregivers, not licensed clinicians in a professional workflow.</t>
  </si>
  <si>
    <t>OT5: abstract states 'This editorial presents...'; an opinion/editorial with no study, data, or framework.</t>
  </si>
  <si>
    <t>Paper extracts/classifies pharmacogenomic guideline info to feed decision-support systems rather than emitting patient-specific recommendations.</t>
  </si>
  <si>
    <t>Heavy patient-education component and answering question not making clinical recommendations.</t>
  </si>
  <si>
    <t>A brief commentary/perspective on integrating LLMs into clinical reasoning rather than a study; SE3 passed it as a valid source type.</t>
  </si>
  <si>
    <t>GPT-4 summarizes alert-override comments to optimize CDS alerts (meta-level CDS improvement).</t>
  </si>
  <si>
    <t>LLM generates patient-facing responses for asynchronous patient engagement.</t>
  </si>
  <si>
    <t>LLMs+RAG formalize STOPP/START prescribing criteria into executable CDS code rather than emitting patient-specific decisions; directly about CDS construction using LLM.</t>
  </si>
  <si>
    <t>Hybrid rule-based-NLP + LLM extracts patient-level statin-therapy barriers from clinical notes to feed CDS rather than emitting decisions; however, transforming it into a decision is a possible next step.</t>
  </si>
  <si>
    <t>Red-teaming framework (PIEE) for stress-testing LLM clinical decision-making, not a clinical decision system itself.</t>
  </si>
  <si>
    <t>Leans medical-education, test some LLM to answer questions in educations context</t>
  </si>
  <si>
    <t>LLM extracts signs/symptoms from ED reports to feed a downstream appendicitis prediction model rather than emitting decisions; part of a CDS pipeline.</t>
  </si>
  <si>
    <t>LLM+RAG help clinicians build Bayesian-network CDS models rather than emitting patient decisions, as part of a CDS pipeline.</t>
  </si>
  <si>
    <t>LLM-agent + RAG automates extraction/integration of new clinical evidence into a CDSS knowledge base rather than emitting patient decisions, as part of a CDS pipeline.</t>
  </si>
  <si>
    <t>LLMs automate comparison of evolving breast-cancer guidelines to update the DESIREE CDSS knowledge base rather than emitting patient decisions, as part of a CDS pipeline.</t>
  </si>
  <si>
    <t>Duplicate from 51</t>
  </si>
  <si>
    <t>augmented LLM for pharmacologic decision support in treatment-resistant depression, EHR-based vignettes, expert psychopharmacologists</t>
  </si>
  <si>
    <t>If questions include clinical decision or not</t>
  </si>
  <si>
    <t>review of LLMs in urolithiasis management clinical decision support (diagnosis, treatment planning), 11 studies</t>
  </si>
  <si>
    <t>Commentary on another CDS paper.</t>
  </si>
  <si>
    <t>Borderline (Included)</t>
  </si>
  <si>
    <t>R1</t>
  </si>
  <si>
    <t>NO</t>
  </si>
  <si>
    <t>Population is just medical students not licensed clinicians and also this is a training/education tool, not a clinical deployment</t>
  </si>
  <si>
    <t>System targets both patients and clinicians. Here clinician role explicitly mentioned (Borderline Case)</t>
  </si>
  <si>
    <t>Cases are fictional/synthetic but designed to simulate real oncology scenarios and evaluated by real MTB experts</t>
  </si>
  <si>
    <t>I think this paper is a Borderline.revisit at full-text screening.</t>
  </si>
  <si>
    <t>Systematic review</t>
  </si>
  <si>
    <t>Agentic AI system (LLM-based with tool use) evaluated on clinical diagnostic benchmarks</t>
  </si>
  <si>
    <t>end users are patients, not clinicians</t>
  </si>
  <si>
    <t>Scoping review on LLMs in hypertension care</t>
  </si>
  <si>
    <t>patients directly query the LLMs</t>
  </si>
  <si>
    <t>Borderline: general knowledge Q&amp;A on endodontics, not patient-specific cases or clinical data.</t>
  </si>
  <si>
    <t>Included at Phase 1 for consistency BUT revisit at full-text screening</t>
  </si>
  <si>
    <t>Synthetic clinical data explicitly accepted per guide</t>
  </si>
  <si>
    <t>Systematic review of 18 studies on LLM</t>
  </si>
  <si>
    <t>Narrative review (not primary study)</t>
  </si>
  <si>
    <t>No empirical data or implemented system</t>
  </si>
  <si>
    <t>Narrative review of LLM applications in cancer care</t>
  </si>
  <si>
    <t>Narrative review covering LLMs in clinical decision support, the paper cover educational and administrative, it contain topics for inclusion and topics for exclusion, final decision is to include?</t>
  </si>
  <si>
    <t>yes</t>
  </si>
  <si>
    <t>Literature review of 108 PubMed articles on how researchers evaluate LLM outputs</t>
  </si>
  <si>
    <t>Narrative review on prompt engineering for clinical LLM use; no implemented system or patient case.</t>
  </si>
  <si>
    <t xml:space="preserve"> assumed to be LLM-based given textual diagnostic-suggestion context</t>
  </si>
  <si>
    <t>Borderline:  'medical trainees' appear only as comparison baseline, not target population</t>
  </si>
  <si>
    <t>The llm help selecting a medical calculator, the final clinical decision is made or support by calculator, llm output it's a previous decision step on the pipeline.</t>
  </si>
  <si>
    <t>benchmark evaluates LLM metacognition on exam-style MCQs, not patient-specific recommendations</t>
  </si>
  <si>
    <t>Regulatory/FDA-compliance focused study rather than clinical performance study, but technically involves LLMs producing CDS-like output on clinical scenarios</t>
  </si>
  <si>
    <t>Scoping review on LLMs as CDSS in oncology</t>
  </si>
  <si>
    <t>Borderline: LLMs select the appropriate calculator tool rather than directly producing the diagnosis/risk score themselves</t>
  </si>
  <si>
    <t>Review on LLM-knowledge graph integration for medical AI/CDS</t>
  </si>
  <si>
    <t>Review on LLMs in urolithiasis management</t>
  </si>
  <si>
    <t>Review on LLMs in nuclear medicine/theranostics</t>
  </si>
  <si>
    <t xml:space="preserve">Mostly MCQ-style theoretical question bank  plus a smaller subset of complex clinical cases </t>
  </si>
  <si>
    <t>Multimodal LLMs/LMMs used for echocardiogram interpretation</t>
  </si>
  <si>
    <t>Strong real-world deployment study</t>
  </si>
  <si>
    <t>Human-AI collaboration study</t>
  </si>
  <si>
    <t>Borderline: GPT-4 summarizes user feedback comments on CDS alerts</t>
  </si>
  <si>
    <t>Study evaluates LLM susceptibility to adversarial hallucination , not generation of patient-specific diagnostic/treatment/triage/prognostic recommendations</t>
  </si>
  <si>
    <t>Systematic review (PRISMA) on LLMs</t>
  </si>
  <si>
    <t>System generates patient-facing responses for asynchronous patient engagement</t>
  </si>
  <si>
    <t>Borderline: LLMs/LRMs generate triaging rule sets for CDSS construction, not direct patient-specific recommendations on individual cases</t>
  </si>
  <si>
    <t>Borderline: knowledge graph-RAG answers clinical questions based on textbook knowledge</t>
  </si>
  <si>
    <t>Borderline: core decision engine is a deterministic policy/rule engine; LLM serves only as an explanation/justification module, not the core or orchestrating component</t>
  </si>
  <si>
    <t>Borderline: ChatGPT answers 5 general questions about inguinal hernia surgical management; no individual patient case or clinical dataset involved</t>
  </si>
  <si>
    <t>does not generate any patient-specific diagnosis, treatment, or recommendation</t>
  </si>
  <si>
    <t>Mixed study: UMLS knowledge probing (meta-evaluation) + diagnosis generation from consumer health questions and EHR care notes (patient-specific)</t>
  </si>
  <si>
    <t>PRISMA systematic review on generative LLMs in EHR analysis</t>
  </si>
  <si>
    <t>technically involves LLMs generating decisions on clinical scenarios</t>
  </si>
  <si>
    <t>Borderline: LLMs formalize STOPP/START prescribing criteria into executable code not direct patient-specific recommendations</t>
  </si>
  <si>
    <t>Review on prompt engineering techniques for LLMs in radiology</t>
  </si>
  <si>
    <t>Borderline: LLMs answer 105 general guideline-based questions on urolithiasis, no individual patient case involved</t>
  </si>
  <si>
    <t>Scoping review on LLMs in radiology covering multiple applications</t>
  </si>
  <si>
    <t>Models are BERT-based (Italian BERT, Multilingual BERT)</t>
  </si>
  <si>
    <t>Borderline: LLMs answer general exemplary questions about MTB preparation, not individual patient cases. Same pattern as inguinal hernia and urolithiasis papers</t>
  </si>
  <si>
    <t>LLM generates clinical summaries from patient case data for tumor board decision-making</t>
  </si>
  <si>
    <t>Mixed study: general questions from both patient and clinician perspectives on gynecologic cancer management</t>
  </si>
  <si>
    <t xml:space="preserve"> not individual patient cases; BioBERT used only for retrieval/embedding, generative LLMs</t>
  </si>
  <si>
    <t>Bias/fairness audit of LLMs on clinical vignettes across protected patient attributes</t>
  </si>
  <si>
    <t>Borderline: LLMs answer 10 general anesthesia questions</t>
  </si>
  <si>
    <t>Borderline: LLMs answer general lung cancer diagnosis questions across 5 clinical domains, including differential diagnosis of 'special cases', but no specific individual patient case described</t>
  </si>
  <si>
    <t>Study explicitly focused on medical education (anatomy education for students/trainees), not clinical practice</t>
  </si>
  <si>
    <t>no</t>
  </si>
  <si>
    <t>reporting on and discussing implications of another separate study, not an original research article, systematic review, or scoping review with its own methodology. Not a study type eligible for evidence synthesis</t>
  </si>
  <si>
    <t>Borderline: LLM-RAG assists clinicians in building Bayesian network models (CDSS infrastructure construction tool), not direct patient-specific recommendations</t>
  </si>
  <si>
    <t>Population is undergraduate dental students (educational training context), not practicing clinicians</t>
  </si>
  <si>
    <t xml:space="preserve">Borderline: focus is on emotion-adaptive explainability layer for CDS </t>
  </si>
  <si>
    <t>No individual patient case, focus is bias/equity auditing rather than diagnostic/therapeutic accuracy. Same scope-mismatch pattern as FDA-compliance, Milgram-style safety, and fairness-CDS papers</t>
  </si>
  <si>
    <t>Borderline: LLM automates comparison of two CPG versions to update an existing CDSS knowledge base (DESIREE); no patient case involved, purely guideline-maintenance task</t>
  </si>
  <si>
    <t>Borderline: LLMs answer 139 expert-consensus questions from St. Gallen breast cancer conference, no individual patient case involved</t>
  </si>
  <si>
    <t>System is designed as a resource for parental decision-making regarding their children's care (patient/family-facing), not for clinicians</t>
  </si>
  <si>
    <t>Borderline: models evaluated on MedMCQA/PubMedQA (medical exam-style MCQ benchmarks), not individual patient cases</t>
  </si>
  <si>
    <t>Abstract is vague and lacks methodological detail</t>
  </si>
  <si>
    <t>Borderline: multi-agent LLM-CDSS evaluated on MedQA/PubMedQA/MedBullets (medical exam-style MCQ benchmarks), not individual patient cases</t>
  </si>
  <si>
    <t>This system itself answers clinical queries. No specific patient case detailed in abstract</t>
  </si>
  <si>
    <t>Voice-based bias study in audio LLMs for surgical recommendations on 170 real clinical cases; uses real clinical case data (unlike abstract fairness/Milgram-style papers), closer to hazard-detection-anesthesiology pattern</t>
  </si>
  <si>
    <t>Borderline: proposes a conceptual framework for LLM-RAG-based automated integration of new clinical evidence into existing CDSS guideline repositories (knowledge-base maintenance), not patient-specific recommendations; no patient case or experimental results in this abstract</t>
  </si>
  <si>
    <t>This is an editorial/opinion piece presenting a general perspective on LLMs in medicine, with no original research methodology, systematic search, or evidence synthesis</t>
  </si>
  <si>
    <t>Gender/ethnicity bias evaluation using Counterfactual Patient Variations dataset derived from real JAMA Clinical Challenge cases; uses real clinical cases</t>
  </si>
  <si>
    <t>Review on visual-language LLMs (CLIP, FLAVA, BLIP) for medical image analysis and multimodal CDS in primary care</t>
  </si>
  <si>
    <t>Review on LLMs in DRG assignment and CDSS, focused on radiology/nuclear medicine; included per team agreement on review-type articles</t>
  </si>
  <si>
    <t>R2</t>
  </si>
  <si>
    <t>Disagrement</t>
  </si>
  <si>
    <t>Rationale Discussion</t>
  </si>
  <si>
    <t>It's a duplicate record from paper ID 51</t>
  </si>
  <si>
    <t>Final decision</t>
  </si>
  <si>
    <t>LLMs/LRMs generate triaging rules.  LLM used for building CDSS rather than being a CDSS itself.</t>
  </si>
  <si>
    <t>A clarification for the CO3 criteria is provided: cases where LLM is used to develop or define rules for a CDSS are excluded because LLM does not participate in the daily decision-making process of the CDSS.</t>
  </si>
  <si>
    <t>Papers that assess LLMs in decision making, even when focusing on evaluation frameworks, test their performance in clinical decision-making contexts and allow us to understand the ups and downs</t>
  </si>
  <si>
    <t>Final Borderline</t>
  </si>
  <si>
    <t>Discusion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</si>
</sst>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b/>
      <sz val="22"/>
      <color theme="1"/>
      <name val="Calibri"/>
      <family val="2"/>
      <scheme val="minor"/>
    </font>
    <font>
      <b/>
      <sz val="16"/>
      <color theme="0"/>
      <name val="Calibri"/>
      <family val="2"/>
      <scheme val="minor"/>
    </font>
    <font>
      <b/>
      <sz val="20"/>
      <color theme="0"/>
      <name val="Calibri"/>
      <family val="2"/>
      <scheme val="minor"/>
    </font>
    <font>
      <b/>
      <sz val="11"/>
      <name val="Calibri"/>
      <family val="2"/>
    </font>
  </fonts>
  <fills count="9">
    <fill>
      <patternFill patternType="none"/>
    </fill>
    <fill>
      <patternFill patternType="gray125"/>
    </fill>
    <fill>
      <patternFill patternType="solid">
        <fgColor theme="1"/>
        <bgColor indexed="64"/>
      </patternFill>
    </fill>
    <fill>
      <patternFill patternType="solid">
        <fgColor rgb="FFFFFF00"/>
        <bgColor indexed="64"/>
      </patternFill>
    </fill>
    <fill>
      <patternFill patternType="solid">
        <fgColor rgb="FF7030A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D9E1F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49">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2" fillId="5" borderId="1" xfId="0" applyFont="1" applyFill="1" applyBorder="1" applyAlignment="1">
      <alignment horizontal="center" vertical="center" wrapText="1"/>
    </xf>
    <xf numFmtId="0" fontId="3" fillId="6" borderId="1" xfId="0" applyFont="1" applyFill="1" applyBorder="1" applyAlignment="1">
      <alignment horizontal="center"/>
    </xf>
    <xf numFmtId="0" fontId="3" fillId="0" borderId="1" xfId="0" applyFont="1" applyBorder="1" applyAlignment="1">
      <alignment horizontal="center"/>
    </xf>
    <xf numFmtId="0" fontId="2" fillId="7" borderId="1" xfId="0" applyFont="1" applyFill="1" applyBorder="1" applyAlignment="1">
      <alignment horizontal="center" vertical="center" wrapText="1"/>
    </xf>
    <xf numFmtId="0" fontId="3" fillId="7" borderId="1" xfId="0" applyFont="1" applyFill="1" applyBorder="1" applyAlignment="1">
      <alignment horizontal="center"/>
    </xf>
    <xf numFmtId="0" fontId="3" fillId="5" borderId="1" xfId="0" applyFont="1" applyFill="1" applyBorder="1" applyAlignment="1">
      <alignment horizontal="center"/>
    </xf>
    <xf numFmtId="0" fontId="2"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4" fillId="2"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0" xfId="0" applyFont="1" applyFill="1" applyAlignment="1">
      <alignment horizontal="center" vertic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1" fillId="7" borderId="5" xfId="0" applyFont="1" applyFill="1" applyBorder="1" applyAlignment="1">
      <alignment horizontal="center"/>
    </xf>
    <xf numFmtId="0" fontId="1" fillId="7" borderId="6" xfId="0" applyFont="1" applyFill="1" applyBorder="1" applyAlignment="1">
      <alignment horizontal="center"/>
    </xf>
    <xf numFmtId="0" fontId="1" fillId="7" borderId="7" xfId="0" applyFont="1" applyFill="1" applyBorder="1" applyAlignment="1">
      <alignment horizontal="center"/>
    </xf>
    <xf numFmtId="0" fontId="6" fillId="8" borderId="8" xfId="0" applyFont="1" applyFill="1" applyBorder="1" applyAlignment="1">
      <alignment horizontal="center" vertical="center" wrapText="1"/>
    </xf>
    <xf numFmtId="0" fontId="6" fillId="8" borderId="0" xfId="0" applyFont="1" applyFill="1" applyBorder="1" applyAlignment="1">
      <alignment horizontal="center" vertical="center" wrapText="1"/>
    </xf>
    <xf numFmtId="0" fontId="6" fillId="8" borderId="9" xfId="0" applyFont="1" applyFill="1" applyBorder="1" applyAlignment="1">
      <alignment horizontal="center" vertical="center" wrapText="1"/>
    </xf>
    <xf numFmtId="0" fontId="0" fillId="0" borderId="8" xfId="0" applyBorder="1" applyAlignment="1">
      <alignment horizontal="center" vertical="center"/>
    </xf>
    <xf numFmtId="0" fontId="0" fillId="0" borderId="0" xfId="0"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6" fillId="8" borderId="8" xfId="0" applyFont="1" applyFill="1" applyBorder="1" applyAlignment="1">
      <alignment vertical="center" wrapText="1"/>
    </xf>
    <xf numFmtId="0" fontId="6" fillId="8" borderId="0" xfId="0" applyFont="1" applyFill="1" applyBorder="1" applyAlignment="1">
      <alignment vertical="center" wrapText="1"/>
    </xf>
    <xf numFmtId="0" fontId="0" fillId="0" borderId="8" xfId="0" applyBorder="1" applyAlignment="1">
      <alignment horizontal="center" vertical="center" wrapText="1"/>
    </xf>
    <xf numFmtId="0" fontId="0" fillId="0" borderId="0"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wrapText="1"/>
    </xf>
    <xf numFmtId="0" fontId="1" fillId="0" borderId="14" xfId="0" applyFont="1" applyBorder="1" applyAlignment="1">
      <alignment vertical="center" wrapText="1"/>
    </xf>
    <xf numFmtId="0" fontId="1" fillId="0" borderId="15" xfId="0" applyFont="1" applyBorder="1" applyAlignment="1">
      <alignment horizontal="center" vertical="center"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1" fillId="0" borderId="9" xfId="0" applyFont="1" applyBorder="1" applyAlignment="1">
      <alignment horizontal="center" vertical="center" wrapText="1"/>
    </xf>
    <xf numFmtId="0" fontId="0" fillId="0" borderId="0" xfId="0" quotePrefix="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433D92-ACB2-49FF-8BFA-5D7E028B998D}">
  <we:reference id="WA200009404" version="1.0.0.8" store="Omex" storeType="OMEX"/>
  <we:alternateReferences>
    <we:reference id="WA200009404" version="1.0.0.8" store="WA200009404" storeType="OMEX"/>
  </we:alternateReferences>
  <we:properties>
    <we:property name="claude.fileId" value="&quot;ac92aa4c-b120-4da2-9fab-8d8967045860&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84"/>
  <sheetViews>
    <sheetView tabSelected="1" zoomScale="115" zoomScaleNormal="115" workbookViewId="0">
      <pane ySplit="2" topLeftCell="A175" activePane="bottomLeft" state="frozen"/>
      <selection pane="bottomLeft" activeCell="M180" sqref="M180"/>
    </sheetView>
  </sheetViews>
  <sheetFormatPr baseColWidth="10" defaultColWidth="9.140625" defaultRowHeight="15" x14ac:dyDescent="0.25"/>
  <cols>
    <col min="1" max="1" width="18.42578125" style="2" customWidth="1"/>
    <col min="2" max="2" width="48.85546875" style="3" customWidth="1"/>
    <col min="3" max="3" width="118.7109375" style="1" customWidth="1"/>
    <col min="4" max="4" width="13.28515625" style="2" customWidth="1"/>
    <col min="5" max="5" width="20" style="2" customWidth="1"/>
    <col min="6" max="6" width="20.42578125" style="2" customWidth="1"/>
    <col min="7" max="7" width="17.7109375" style="2" customWidth="1"/>
    <col min="8" max="10" width="13.28515625" style="2" customWidth="1"/>
    <col min="11" max="11" width="30.42578125" style="3" customWidth="1"/>
    <col min="12" max="12" width="14.85546875" style="2" customWidth="1"/>
    <col min="13" max="13" width="16.140625" customWidth="1"/>
    <col min="14" max="14" width="15.85546875" customWidth="1"/>
    <col min="15" max="15" width="17" customWidth="1"/>
    <col min="16" max="16" width="13.7109375" customWidth="1"/>
    <col min="17" max="17" width="10.7109375" bestFit="1" customWidth="1"/>
    <col min="18" max="18" width="11.42578125" customWidth="1"/>
    <col min="19" max="19" width="22.28515625" customWidth="1"/>
    <col min="20" max="21" width="15.42578125" customWidth="1"/>
    <col min="22" max="23" width="15.28515625" style="2" customWidth="1"/>
    <col min="24" max="24" width="41" style="2" customWidth="1"/>
  </cols>
  <sheetData>
    <row r="1" spans="1:24" ht="15.75" thickBot="1" x14ac:dyDescent="0.3">
      <c r="E1" s="19" t="s">
        <v>541</v>
      </c>
      <c r="F1" s="20"/>
      <c r="G1" s="20"/>
      <c r="H1" s="20"/>
      <c r="I1" s="20"/>
      <c r="J1" s="20"/>
      <c r="K1" s="20"/>
      <c r="L1" s="21"/>
      <c r="M1" s="19" t="s">
        <v>621</v>
      </c>
      <c r="N1" s="20"/>
      <c r="O1" s="20"/>
      <c r="P1" s="20"/>
      <c r="Q1" s="20"/>
      <c r="R1" s="20"/>
      <c r="S1" s="20"/>
      <c r="T1" s="21"/>
      <c r="U1" s="22" t="s">
        <v>630</v>
      </c>
      <c r="V1" s="23"/>
      <c r="W1" s="23"/>
      <c r="X1" s="24"/>
    </row>
    <row r="2" spans="1:24" s="12" customFormat="1" ht="30" x14ac:dyDescent="0.25">
      <c r="A2" s="41" t="s">
        <v>0</v>
      </c>
      <c r="B2" s="42" t="s">
        <v>1</v>
      </c>
      <c r="C2" s="43" t="s">
        <v>2</v>
      </c>
      <c r="D2" s="44" t="s">
        <v>3</v>
      </c>
      <c r="E2" s="45" t="s">
        <v>4</v>
      </c>
      <c r="F2" s="46" t="s">
        <v>5</v>
      </c>
      <c r="G2" s="46" t="s">
        <v>6</v>
      </c>
      <c r="H2" s="46" t="s">
        <v>7</v>
      </c>
      <c r="I2" s="46" t="s">
        <v>8</v>
      </c>
      <c r="J2" s="46" t="s">
        <v>9</v>
      </c>
      <c r="K2" s="46" t="s">
        <v>10</v>
      </c>
      <c r="L2" s="47" t="s">
        <v>514</v>
      </c>
      <c r="M2" s="35" t="s">
        <v>4</v>
      </c>
      <c r="N2" s="36" t="s">
        <v>5</v>
      </c>
      <c r="O2" s="36" t="s">
        <v>6</v>
      </c>
      <c r="P2" s="36" t="s">
        <v>7</v>
      </c>
      <c r="Q2" s="36" t="s">
        <v>8</v>
      </c>
      <c r="R2" s="36" t="s">
        <v>9</v>
      </c>
      <c r="S2" s="26" t="s">
        <v>10</v>
      </c>
      <c r="T2" s="27" t="s">
        <v>514</v>
      </c>
      <c r="U2" s="25" t="s">
        <v>629</v>
      </c>
      <c r="V2" s="26" t="s">
        <v>622</v>
      </c>
      <c r="W2" s="26" t="s">
        <v>625</v>
      </c>
      <c r="X2" s="27" t="s">
        <v>623</v>
      </c>
    </row>
    <row r="3" spans="1:24" s="13" customFormat="1" ht="360" x14ac:dyDescent="0.25">
      <c r="A3" s="28">
        <v>42</v>
      </c>
      <c r="B3" s="38" t="s">
        <v>49</v>
      </c>
      <c r="C3" s="38" t="s">
        <v>224</v>
      </c>
      <c r="D3" s="30">
        <v>1</v>
      </c>
      <c r="E3" s="28" t="s">
        <v>357</v>
      </c>
      <c r="F3" s="29" t="s">
        <v>357</v>
      </c>
      <c r="G3" s="29" t="s">
        <v>357</v>
      </c>
      <c r="H3" s="29" t="s">
        <v>357</v>
      </c>
      <c r="I3" s="29" t="s">
        <v>357</v>
      </c>
      <c r="J3" s="29" t="s">
        <v>359</v>
      </c>
      <c r="K3" s="38"/>
      <c r="L3" s="30"/>
      <c r="M3" s="37" t="s">
        <v>357</v>
      </c>
      <c r="N3" s="38" t="s">
        <v>357</v>
      </c>
      <c r="O3" s="38" t="s">
        <v>357</v>
      </c>
      <c r="P3" s="38" t="s">
        <v>357</v>
      </c>
      <c r="Q3" s="38" t="s">
        <v>542</v>
      </c>
      <c r="R3" s="38" t="str">
        <f t="shared" ref="R3:R34" si="0">IF(COUNTA(M3:Q3)=0,"",IF(COUNTIF(M3:Q3,"Yes")&gt;0,"EXCLUDE","INCLUDE"))</f>
        <v>INCLUDE</v>
      </c>
      <c r="S3" s="38" t="s">
        <v>514</v>
      </c>
      <c r="T3" s="30">
        <v>1</v>
      </c>
      <c r="U3" s="28">
        <f>IF(OR(T3=1,L3=1),1,"")</f>
        <v>1</v>
      </c>
      <c r="V3" s="29" t="b">
        <f>R3&lt;&gt;J3</f>
        <v>0</v>
      </c>
      <c r="W3" s="29" t="str">
        <f>J3</f>
        <v>INCLUDE</v>
      </c>
      <c r="X3" s="30"/>
    </row>
    <row r="4" spans="1:24" s="13" customFormat="1" ht="225" x14ac:dyDescent="0.25">
      <c r="A4" s="28">
        <v>43</v>
      </c>
      <c r="B4" s="38" t="s">
        <v>50</v>
      </c>
      <c r="C4" s="38" t="s">
        <v>225</v>
      </c>
      <c r="D4" s="30">
        <v>1</v>
      </c>
      <c r="E4" s="28" t="s">
        <v>357</v>
      </c>
      <c r="F4" s="29" t="s">
        <v>357</v>
      </c>
      <c r="G4" s="29" t="s">
        <v>357</v>
      </c>
      <c r="H4" s="29" t="s">
        <v>357</v>
      </c>
      <c r="I4" s="29" t="s">
        <v>357</v>
      </c>
      <c r="J4" s="29" t="s">
        <v>359</v>
      </c>
      <c r="K4" s="38" t="s">
        <v>400</v>
      </c>
      <c r="L4" s="30"/>
      <c r="M4" s="37" t="s">
        <v>357</v>
      </c>
      <c r="N4" s="38" t="s">
        <v>357</v>
      </c>
      <c r="O4" s="38" t="s">
        <v>357</v>
      </c>
      <c r="P4" s="38" t="s">
        <v>357</v>
      </c>
      <c r="Q4" s="38" t="s">
        <v>542</v>
      </c>
      <c r="R4" s="38" t="str">
        <f t="shared" si="0"/>
        <v>INCLUDE</v>
      </c>
      <c r="S4" s="38" t="s">
        <v>559</v>
      </c>
      <c r="T4" s="30">
        <v>1</v>
      </c>
      <c r="U4" s="28">
        <f t="shared" ref="U4:U67" si="1">IF(OR(T4=1,L4=1),1,"")</f>
        <v>1</v>
      </c>
      <c r="V4" s="29" t="b">
        <f t="shared" ref="V4:V67" si="2">R4&lt;&gt;J4</f>
        <v>0</v>
      </c>
      <c r="W4" s="29" t="str">
        <f t="shared" ref="W4:W6" si="3">J4</f>
        <v>INCLUDE</v>
      </c>
      <c r="X4" s="30"/>
    </row>
    <row r="5" spans="1:24" s="13" customFormat="1" ht="270" x14ac:dyDescent="0.25">
      <c r="A5" s="28">
        <v>45</v>
      </c>
      <c r="B5" s="38" t="s">
        <v>52</v>
      </c>
      <c r="C5" s="38" t="s">
        <v>227</v>
      </c>
      <c r="D5" s="30">
        <v>1</v>
      </c>
      <c r="E5" s="28" t="s">
        <v>357</v>
      </c>
      <c r="F5" s="29" t="s">
        <v>357</v>
      </c>
      <c r="G5" s="29" t="s">
        <v>357</v>
      </c>
      <c r="H5" s="29" t="s">
        <v>357</v>
      </c>
      <c r="I5" s="29" t="s">
        <v>357</v>
      </c>
      <c r="J5" s="29" t="s">
        <v>359</v>
      </c>
      <c r="K5" s="38" t="s">
        <v>402</v>
      </c>
      <c r="L5" s="30"/>
      <c r="M5" s="37" t="s">
        <v>357</v>
      </c>
      <c r="N5" s="38" t="s">
        <v>357</v>
      </c>
      <c r="O5" s="38" t="s">
        <v>357</v>
      </c>
      <c r="P5" s="38" t="s">
        <v>357</v>
      </c>
      <c r="Q5" s="38" t="s">
        <v>542</v>
      </c>
      <c r="R5" s="38" t="str">
        <f t="shared" si="0"/>
        <v>INCLUDE</v>
      </c>
      <c r="S5" s="38" t="s">
        <v>562</v>
      </c>
      <c r="T5" s="30">
        <v>1</v>
      </c>
      <c r="U5" s="28">
        <f t="shared" si="1"/>
        <v>1</v>
      </c>
      <c r="V5" s="29" t="b">
        <f t="shared" si="2"/>
        <v>0</v>
      </c>
      <c r="W5" s="29" t="str">
        <f t="shared" si="3"/>
        <v>INCLUDE</v>
      </c>
      <c r="X5" s="30"/>
    </row>
    <row r="6" spans="1:24" s="13" customFormat="1" ht="135" x14ac:dyDescent="0.25">
      <c r="A6" s="28">
        <v>51</v>
      </c>
      <c r="B6" s="38" t="s">
        <v>57</v>
      </c>
      <c r="C6" s="38" t="s">
        <v>232</v>
      </c>
      <c r="D6" s="30">
        <v>1</v>
      </c>
      <c r="E6" s="28" t="s">
        <v>357</v>
      </c>
      <c r="F6" s="29" t="s">
        <v>357</v>
      </c>
      <c r="G6" s="29" t="s">
        <v>357</v>
      </c>
      <c r="H6" s="29" t="s">
        <v>357</v>
      </c>
      <c r="I6" s="29" t="s">
        <v>357</v>
      </c>
      <c r="J6" s="29" t="s">
        <v>359</v>
      </c>
      <c r="K6" s="38" t="s">
        <v>407</v>
      </c>
      <c r="L6" s="30">
        <v>1</v>
      </c>
      <c r="M6" s="37" t="s">
        <v>357</v>
      </c>
      <c r="N6" s="38" t="s">
        <v>357</v>
      </c>
      <c r="O6" s="38" t="s">
        <v>357</v>
      </c>
      <c r="P6" s="38" t="s">
        <v>357</v>
      </c>
      <c r="Q6" s="38" t="s">
        <v>542</v>
      </c>
      <c r="R6" s="38" t="str">
        <f t="shared" si="0"/>
        <v>INCLUDE</v>
      </c>
      <c r="S6" s="38" t="s">
        <v>564</v>
      </c>
      <c r="T6" s="30">
        <v>1</v>
      </c>
      <c r="U6" s="28">
        <f t="shared" si="1"/>
        <v>1</v>
      </c>
      <c r="V6" s="29" t="b">
        <f t="shared" si="2"/>
        <v>0</v>
      </c>
      <c r="W6" s="29" t="str">
        <f t="shared" si="3"/>
        <v>INCLUDE</v>
      </c>
      <c r="X6" s="31" t="s">
        <v>565</v>
      </c>
    </row>
    <row r="7" spans="1:24" s="13" customFormat="1" ht="135" x14ac:dyDescent="0.25">
      <c r="A7" s="28">
        <v>58</v>
      </c>
      <c r="B7" s="38" t="s">
        <v>57</v>
      </c>
      <c r="C7" s="38" t="s">
        <v>239</v>
      </c>
      <c r="D7" s="30">
        <v>1</v>
      </c>
      <c r="E7" s="28" t="s">
        <v>357</v>
      </c>
      <c r="F7" s="29" t="s">
        <v>357</v>
      </c>
      <c r="G7" s="29" t="s">
        <v>357</v>
      </c>
      <c r="H7" s="29" t="s">
        <v>357</v>
      </c>
      <c r="I7" s="29" t="s">
        <v>358</v>
      </c>
      <c r="J7" s="29" t="s">
        <v>360</v>
      </c>
      <c r="K7" s="38" t="s">
        <v>535</v>
      </c>
      <c r="L7" s="30"/>
      <c r="M7" s="37" t="s">
        <v>357</v>
      </c>
      <c r="N7" s="38" t="s">
        <v>357</v>
      </c>
      <c r="O7" s="38" t="s">
        <v>357</v>
      </c>
      <c r="P7" s="38" t="s">
        <v>357</v>
      </c>
      <c r="Q7" s="38" t="s">
        <v>542</v>
      </c>
      <c r="R7" s="38" t="str">
        <f t="shared" si="0"/>
        <v>INCLUDE</v>
      </c>
      <c r="S7" s="38" t="s">
        <v>569</v>
      </c>
      <c r="T7" s="30">
        <v>1</v>
      </c>
      <c r="U7" s="28">
        <f t="shared" si="1"/>
        <v>1</v>
      </c>
      <c r="V7" s="29" t="b">
        <f t="shared" si="2"/>
        <v>1</v>
      </c>
      <c r="W7" s="29" t="s">
        <v>360</v>
      </c>
      <c r="X7" s="31" t="s">
        <v>624</v>
      </c>
    </row>
    <row r="8" spans="1:24" s="13" customFormat="1" ht="255" x14ac:dyDescent="0.25">
      <c r="A8" s="28">
        <v>67</v>
      </c>
      <c r="B8" s="38" t="s">
        <v>72</v>
      </c>
      <c r="C8" s="38" t="s">
        <v>248</v>
      </c>
      <c r="D8" s="30">
        <v>1</v>
      </c>
      <c r="E8" s="28" t="s">
        <v>357</v>
      </c>
      <c r="F8" s="29" t="s">
        <v>357</v>
      </c>
      <c r="G8" s="29" t="s">
        <v>357</v>
      </c>
      <c r="H8" s="29" t="s">
        <v>357</v>
      </c>
      <c r="I8" s="29" t="s">
        <v>357</v>
      </c>
      <c r="J8" s="29" t="s">
        <v>359</v>
      </c>
      <c r="K8" s="38" t="s">
        <v>525</v>
      </c>
      <c r="L8" s="30"/>
      <c r="M8" s="37" t="s">
        <v>357</v>
      </c>
      <c r="N8" s="38" t="s">
        <v>357</v>
      </c>
      <c r="O8" s="38" t="s">
        <v>357</v>
      </c>
      <c r="P8" s="38" t="s">
        <v>357</v>
      </c>
      <c r="Q8" s="38" t="s">
        <v>542</v>
      </c>
      <c r="R8" s="38" t="str">
        <f t="shared" si="0"/>
        <v>INCLUDE</v>
      </c>
      <c r="S8" s="38" t="s">
        <v>577</v>
      </c>
      <c r="T8" s="30">
        <v>1</v>
      </c>
      <c r="U8" s="28">
        <f t="shared" si="1"/>
        <v>1</v>
      </c>
      <c r="V8" s="29" t="b">
        <f t="shared" si="2"/>
        <v>0</v>
      </c>
      <c r="W8" s="29" t="str">
        <f>J8</f>
        <v>INCLUDE</v>
      </c>
      <c r="X8" s="30"/>
    </row>
    <row r="9" spans="1:24" s="13" customFormat="1" ht="285" x14ac:dyDescent="0.25">
      <c r="A9" s="28">
        <v>77</v>
      </c>
      <c r="B9" s="38" t="s">
        <v>82</v>
      </c>
      <c r="C9" s="38" t="s">
        <v>258</v>
      </c>
      <c r="D9" s="30">
        <v>1</v>
      </c>
      <c r="E9" s="28" t="s">
        <v>357</v>
      </c>
      <c r="F9" s="29" t="s">
        <v>357</v>
      </c>
      <c r="G9" s="29" t="s">
        <v>358</v>
      </c>
      <c r="H9" s="29" t="s">
        <v>357</v>
      </c>
      <c r="I9" s="29" t="s">
        <v>357</v>
      </c>
      <c r="J9" s="29" t="s">
        <v>360</v>
      </c>
      <c r="K9" s="38" t="s">
        <v>626</v>
      </c>
      <c r="L9" s="30"/>
      <c r="M9" s="37" t="s">
        <v>357</v>
      </c>
      <c r="N9" s="38" t="s">
        <v>357</v>
      </c>
      <c r="O9" s="38" t="s">
        <v>357</v>
      </c>
      <c r="P9" s="38" t="s">
        <v>357</v>
      </c>
      <c r="Q9" s="38" t="s">
        <v>542</v>
      </c>
      <c r="R9" s="38" t="str">
        <f t="shared" si="0"/>
        <v>INCLUDE</v>
      </c>
      <c r="S9" s="38" t="s">
        <v>581</v>
      </c>
      <c r="T9" s="30">
        <v>1</v>
      </c>
      <c r="U9" s="28">
        <f t="shared" si="1"/>
        <v>1</v>
      </c>
      <c r="V9" s="29" t="b">
        <f t="shared" si="2"/>
        <v>1</v>
      </c>
      <c r="W9" s="29" t="s">
        <v>360</v>
      </c>
      <c r="X9" s="31" t="s">
        <v>627</v>
      </c>
    </row>
    <row r="10" spans="1:24" s="13" customFormat="1" ht="255" x14ac:dyDescent="0.25">
      <c r="A10" s="28">
        <v>78</v>
      </c>
      <c r="B10" s="38" t="s">
        <v>83</v>
      </c>
      <c r="C10" s="38" t="s">
        <v>259</v>
      </c>
      <c r="D10" s="30">
        <v>1</v>
      </c>
      <c r="E10" s="28" t="s">
        <v>357</v>
      </c>
      <c r="F10" s="29" t="s">
        <v>357</v>
      </c>
      <c r="G10" s="29" t="s">
        <v>357</v>
      </c>
      <c r="H10" s="29" t="s">
        <v>357</v>
      </c>
      <c r="I10" s="29" t="s">
        <v>357</v>
      </c>
      <c r="J10" s="29" t="s">
        <v>359</v>
      </c>
      <c r="K10" s="38" t="s">
        <v>429</v>
      </c>
      <c r="L10" s="30"/>
      <c r="M10" s="37" t="s">
        <v>357</v>
      </c>
      <c r="N10" s="38" t="s">
        <v>357</v>
      </c>
      <c r="O10" s="38" t="s">
        <v>357</v>
      </c>
      <c r="P10" s="38" t="s">
        <v>357</v>
      </c>
      <c r="Q10" s="38" t="s">
        <v>542</v>
      </c>
      <c r="R10" s="38" t="str">
        <f t="shared" si="0"/>
        <v>INCLUDE</v>
      </c>
      <c r="S10" s="38" t="s">
        <v>582</v>
      </c>
      <c r="T10" s="30">
        <v>1</v>
      </c>
      <c r="U10" s="28">
        <f t="shared" si="1"/>
        <v>1</v>
      </c>
      <c r="V10" s="29" t="b">
        <f t="shared" si="2"/>
        <v>0</v>
      </c>
      <c r="W10" s="29" t="str">
        <f t="shared" ref="W10:W12" si="4">J10</f>
        <v>INCLUDE</v>
      </c>
      <c r="X10" s="30"/>
    </row>
    <row r="11" spans="1:24" s="13" customFormat="1" ht="255" x14ac:dyDescent="0.25">
      <c r="A11" s="28">
        <v>82</v>
      </c>
      <c r="B11" s="38" t="s">
        <v>87</v>
      </c>
      <c r="C11" s="38" t="s">
        <v>263</v>
      </c>
      <c r="D11" s="30">
        <v>1</v>
      </c>
      <c r="E11" s="28" t="s">
        <v>357</v>
      </c>
      <c r="F11" s="29" t="s">
        <v>357</v>
      </c>
      <c r="G11" s="29" t="s">
        <v>357</v>
      </c>
      <c r="H11" s="29" t="s">
        <v>357</v>
      </c>
      <c r="I11" s="29" t="s">
        <v>357</v>
      </c>
      <c r="J11" s="29" t="s">
        <v>359</v>
      </c>
      <c r="K11" s="38" t="s">
        <v>433</v>
      </c>
      <c r="L11" s="30"/>
      <c r="M11" s="37" t="s">
        <v>357</v>
      </c>
      <c r="N11" s="38" t="s">
        <v>357</v>
      </c>
      <c r="O11" s="38" t="s">
        <v>357</v>
      </c>
      <c r="P11" s="38" t="s">
        <v>357</v>
      </c>
      <c r="Q11" s="38" t="s">
        <v>542</v>
      </c>
      <c r="R11" s="38" t="str">
        <f t="shared" si="0"/>
        <v>INCLUDE</v>
      </c>
      <c r="S11" s="38" t="s">
        <v>583</v>
      </c>
      <c r="T11" s="30">
        <v>1</v>
      </c>
      <c r="U11" s="28">
        <f t="shared" si="1"/>
        <v>1</v>
      </c>
      <c r="V11" s="29" t="b">
        <f t="shared" si="2"/>
        <v>0</v>
      </c>
      <c r="W11" s="29" t="str">
        <f t="shared" si="4"/>
        <v>INCLUDE</v>
      </c>
      <c r="X11" s="30"/>
    </row>
    <row r="12" spans="1:24" s="13" customFormat="1" ht="165" x14ac:dyDescent="0.25">
      <c r="A12" s="28">
        <v>83</v>
      </c>
      <c r="B12" s="38" t="s">
        <v>88</v>
      </c>
      <c r="C12" s="38" t="s">
        <v>264</v>
      </c>
      <c r="D12" s="30">
        <v>1</v>
      </c>
      <c r="E12" s="28" t="s">
        <v>357</v>
      </c>
      <c r="F12" s="29" t="s">
        <v>357</v>
      </c>
      <c r="G12" s="29" t="s">
        <v>357</v>
      </c>
      <c r="H12" s="29" t="s">
        <v>357</v>
      </c>
      <c r="I12" s="29" t="s">
        <v>357</v>
      </c>
      <c r="J12" s="29" t="s">
        <v>359</v>
      </c>
      <c r="K12" s="38" t="s">
        <v>434</v>
      </c>
      <c r="L12" s="30"/>
      <c r="M12" s="37" t="s">
        <v>357</v>
      </c>
      <c r="N12" s="38" t="s">
        <v>357</v>
      </c>
      <c r="O12" s="38" t="s">
        <v>357</v>
      </c>
      <c r="P12" s="38" t="s">
        <v>357</v>
      </c>
      <c r="Q12" s="38" t="s">
        <v>542</v>
      </c>
      <c r="R12" s="38" t="str">
        <f t="shared" si="0"/>
        <v>INCLUDE</v>
      </c>
      <c r="S12" s="38" t="s">
        <v>584</v>
      </c>
      <c r="T12" s="30">
        <v>1</v>
      </c>
      <c r="U12" s="28">
        <f t="shared" si="1"/>
        <v>1</v>
      </c>
      <c r="V12" s="29" t="b">
        <f t="shared" si="2"/>
        <v>0</v>
      </c>
      <c r="W12" s="29" t="str">
        <f t="shared" si="4"/>
        <v>INCLUDE</v>
      </c>
      <c r="X12" s="30"/>
    </row>
    <row r="13" spans="1:24" s="13" customFormat="1" ht="135" x14ac:dyDescent="0.25">
      <c r="A13" s="28">
        <v>94</v>
      </c>
      <c r="B13" s="38" t="s">
        <v>99</v>
      </c>
      <c r="C13" s="38" t="s">
        <v>275</v>
      </c>
      <c r="D13" s="30">
        <v>1</v>
      </c>
      <c r="E13" s="28" t="s">
        <v>357</v>
      </c>
      <c r="F13" s="29" t="s">
        <v>357</v>
      </c>
      <c r="G13" s="29" t="s">
        <v>358</v>
      </c>
      <c r="H13" s="29" t="s">
        <v>357</v>
      </c>
      <c r="I13" s="29" t="s">
        <v>357</v>
      </c>
      <c r="J13" s="29" t="s">
        <v>360</v>
      </c>
      <c r="K13" s="38" t="s">
        <v>527</v>
      </c>
      <c r="L13" s="30"/>
      <c r="M13" s="37" t="s">
        <v>357</v>
      </c>
      <c r="N13" s="38" t="s">
        <v>357</v>
      </c>
      <c r="O13" s="38" t="s">
        <v>357</v>
      </c>
      <c r="P13" s="38" t="s">
        <v>357</v>
      </c>
      <c r="Q13" s="38" t="s">
        <v>542</v>
      </c>
      <c r="R13" s="38" t="str">
        <f t="shared" si="0"/>
        <v>INCLUDE</v>
      </c>
      <c r="S13" s="38" t="s">
        <v>589</v>
      </c>
      <c r="T13" s="30">
        <v>1</v>
      </c>
      <c r="U13" s="28">
        <f t="shared" si="1"/>
        <v>1</v>
      </c>
      <c r="V13" s="29" t="b">
        <f t="shared" si="2"/>
        <v>1</v>
      </c>
      <c r="W13" s="29" t="s">
        <v>360</v>
      </c>
      <c r="X13" s="31" t="s">
        <v>627</v>
      </c>
    </row>
    <row r="14" spans="1:24" s="13" customFormat="1" ht="210" x14ac:dyDescent="0.25">
      <c r="A14" s="28">
        <v>96</v>
      </c>
      <c r="B14" s="38" t="s">
        <v>101</v>
      </c>
      <c r="C14" s="38" t="s">
        <v>277</v>
      </c>
      <c r="D14" s="30">
        <v>1</v>
      </c>
      <c r="E14" s="28" t="s">
        <v>357</v>
      </c>
      <c r="F14" s="29" t="s">
        <v>357</v>
      </c>
      <c r="G14" s="29" t="s">
        <v>357</v>
      </c>
      <c r="H14" s="29" t="s">
        <v>357</v>
      </c>
      <c r="I14" s="29" t="s">
        <v>357</v>
      </c>
      <c r="J14" s="29" t="s">
        <v>359</v>
      </c>
      <c r="K14" s="38" t="s">
        <v>446</v>
      </c>
      <c r="L14" s="30"/>
      <c r="M14" s="37" t="s">
        <v>357</v>
      </c>
      <c r="N14" s="38" t="s">
        <v>357</v>
      </c>
      <c r="O14" s="38" t="s">
        <v>357</v>
      </c>
      <c r="P14" s="38" t="s">
        <v>357</v>
      </c>
      <c r="Q14" s="38" t="s">
        <v>542</v>
      </c>
      <c r="R14" s="38" t="str">
        <f t="shared" si="0"/>
        <v>INCLUDE</v>
      </c>
      <c r="S14" s="38" t="s">
        <v>591</v>
      </c>
      <c r="T14" s="30">
        <v>1</v>
      </c>
      <c r="U14" s="28">
        <f t="shared" si="1"/>
        <v>1</v>
      </c>
      <c r="V14" s="29" t="b">
        <f t="shared" si="2"/>
        <v>0</v>
      </c>
      <c r="W14" s="29" t="str">
        <f t="shared" ref="W14:W21" si="5">J14</f>
        <v>INCLUDE</v>
      </c>
      <c r="X14" s="30"/>
    </row>
    <row r="15" spans="1:24" s="13" customFormat="1" ht="270" x14ac:dyDescent="0.25">
      <c r="A15" s="28">
        <v>103</v>
      </c>
      <c r="B15" s="38" t="s">
        <v>108</v>
      </c>
      <c r="C15" s="38" t="s">
        <v>284</v>
      </c>
      <c r="D15" s="30">
        <v>1</v>
      </c>
      <c r="E15" s="28" t="s">
        <v>357</v>
      </c>
      <c r="F15" s="29" t="s">
        <v>357</v>
      </c>
      <c r="G15" s="29" t="s">
        <v>357</v>
      </c>
      <c r="H15" s="29" t="s">
        <v>357</v>
      </c>
      <c r="I15" s="29" t="s">
        <v>357</v>
      </c>
      <c r="J15" s="29" t="s">
        <v>359</v>
      </c>
      <c r="K15" s="38" t="s">
        <v>452</v>
      </c>
      <c r="L15" s="30"/>
      <c r="M15" s="37" t="s">
        <v>357</v>
      </c>
      <c r="N15" s="38" t="s">
        <v>357</v>
      </c>
      <c r="O15" s="38" t="s">
        <v>357</v>
      </c>
      <c r="P15" s="38" t="s">
        <v>357</v>
      </c>
      <c r="Q15" s="38" t="s">
        <v>542</v>
      </c>
      <c r="R15" s="38" t="str">
        <f t="shared" si="0"/>
        <v>INCLUDE</v>
      </c>
      <c r="S15" s="38" t="s">
        <v>594</v>
      </c>
      <c r="T15" s="30">
        <v>1</v>
      </c>
      <c r="U15" s="28">
        <f t="shared" si="1"/>
        <v>1</v>
      </c>
      <c r="V15" s="29" t="b">
        <f t="shared" si="2"/>
        <v>0</v>
      </c>
      <c r="W15" s="29" t="str">
        <f t="shared" si="5"/>
        <v>INCLUDE</v>
      </c>
      <c r="X15" s="30"/>
    </row>
    <row r="16" spans="1:24" s="13" customFormat="1" ht="270" x14ac:dyDescent="0.25">
      <c r="A16" s="28">
        <v>105</v>
      </c>
      <c r="B16" s="38" t="s">
        <v>110</v>
      </c>
      <c r="C16" s="38" t="s">
        <v>286</v>
      </c>
      <c r="D16" s="30">
        <v>1</v>
      </c>
      <c r="E16" s="28" t="s">
        <v>357</v>
      </c>
      <c r="F16" s="29" t="s">
        <v>357</v>
      </c>
      <c r="G16" s="29" t="s">
        <v>357</v>
      </c>
      <c r="H16" s="29" t="s">
        <v>357</v>
      </c>
      <c r="I16" s="29" t="s">
        <v>357</v>
      </c>
      <c r="J16" s="29" t="s">
        <v>359</v>
      </c>
      <c r="K16" s="38" t="s">
        <v>528</v>
      </c>
      <c r="L16" s="30"/>
      <c r="M16" s="37" t="s">
        <v>357</v>
      </c>
      <c r="N16" s="38" t="s">
        <v>357</v>
      </c>
      <c r="O16" s="38" t="s">
        <v>357</v>
      </c>
      <c r="P16" s="38" t="s">
        <v>357</v>
      </c>
      <c r="Q16" s="38" t="s">
        <v>542</v>
      </c>
      <c r="R16" s="38" t="str">
        <f t="shared" si="0"/>
        <v>INCLUDE</v>
      </c>
      <c r="S16" s="38" t="s">
        <v>514</v>
      </c>
      <c r="T16" s="30">
        <v>1</v>
      </c>
      <c r="U16" s="28">
        <f t="shared" si="1"/>
        <v>1</v>
      </c>
      <c r="V16" s="29" t="b">
        <f t="shared" si="2"/>
        <v>0</v>
      </c>
      <c r="W16" s="29" t="str">
        <f t="shared" si="5"/>
        <v>INCLUDE</v>
      </c>
      <c r="X16" s="30"/>
    </row>
    <row r="17" spans="1:24" s="13" customFormat="1" ht="285" x14ac:dyDescent="0.25">
      <c r="A17" s="28">
        <v>111</v>
      </c>
      <c r="B17" s="38" t="s">
        <v>116</v>
      </c>
      <c r="C17" s="38" t="s">
        <v>292</v>
      </c>
      <c r="D17" s="30">
        <v>1</v>
      </c>
      <c r="E17" s="28" t="s">
        <v>357</v>
      </c>
      <c r="F17" s="29" t="s">
        <v>357</v>
      </c>
      <c r="G17" s="29" t="s">
        <v>357</v>
      </c>
      <c r="H17" s="29" t="s">
        <v>357</v>
      </c>
      <c r="I17" s="29" t="s">
        <v>357</v>
      </c>
      <c r="J17" s="29" t="s">
        <v>359</v>
      </c>
      <c r="K17" s="38" t="s">
        <v>458</v>
      </c>
      <c r="L17" s="30"/>
      <c r="M17" s="37" t="s">
        <v>357</v>
      </c>
      <c r="N17" s="38" t="s">
        <v>357</v>
      </c>
      <c r="O17" s="38" t="s">
        <v>357</v>
      </c>
      <c r="P17" s="38" t="s">
        <v>357</v>
      </c>
      <c r="Q17" s="38" t="s">
        <v>542</v>
      </c>
      <c r="R17" s="38" t="str">
        <f t="shared" si="0"/>
        <v>INCLUDE</v>
      </c>
      <c r="S17" s="38" t="s">
        <v>597</v>
      </c>
      <c r="T17" s="30">
        <v>1</v>
      </c>
      <c r="U17" s="28">
        <f t="shared" si="1"/>
        <v>1</v>
      </c>
      <c r="V17" s="29" t="b">
        <f t="shared" si="2"/>
        <v>0</v>
      </c>
      <c r="W17" s="29" t="str">
        <f t="shared" si="5"/>
        <v>INCLUDE</v>
      </c>
      <c r="X17" s="30"/>
    </row>
    <row r="18" spans="1:24" s="13" customFormat="1" ht="300" x14ac:dyDescent="0.25">
      <c r="A18" s="28">
        <v>122</v>
      </c>
      <c r="B18" s="38" t="s">
        <v>125</v>
      </c>
      <c r="C18" s="38" t="s">
        <v>301</v>
      </c>
      <c r="D18" s="30">
        <v>1</v>
      </c>
      <c r="E18" s="28" t="s">
        <v>357</v>
      </c>
      <c r="F18" s="29" t="s">
        <v>357</v>
      </c>
      <c r="G18" s="29" t="s">
        <v>357</v>
      </c>
      <c r="H18" s="29" t="s">
        <v>357</v>
      </c>
      <c r="I18" s="29" t="s">
        <v>357</v>
      </c>
      <c r="J18" s="29" t="s">
        <v>359</v>
      </c>
      <c r="K18" s="38" t="s">
        <v>467</v>
      </c>
      <c r="L18" s="30"/>
      <c r="M18" s="37" t="s">
        <v>357</v>
      </c>
      <c r="N18" s="38" t="s">
        <v>357</v>
      </c>
      <c r="O18" s="38" t="s">
        <v>357</v>
      </c>
      <c r="P18" s="38" t="s">
        <v>357</v>
      </c>
      <c r="Q18" s="38" t="s">
        <v>542</v>
      </c>
      <c r="R18" s="38" t="str">
        <f t="shared" si="0"/>
        <v>INCLUDE</v>
      </c>
      <c r="S18" s="38" t="s">
        <v>599</v>
      </c>
      <c r="T18" s="30">
        <v>1</v>
      </c>
      <c r="U18" s="28">
        <f t="shared" si="1"/>
        <v>1</v>
      </c>
      <c r="V18" s="29" t="b">
        <f t="shared" si="2"/>
        <v>0</v>
      </c>
      <c r="W18" s="29" t="str">
        <f t="shared" si="5"/>
        <v>INCLUDE</v>
      </c>
      <c r="X18" s="30"/>
    </row>
    <row r="19" spans="1:24" s="13" customFormat="1" ht="165" x14ac:dyDescent="0.25">
      <c r="A19" s="28">
        <v>131</v>
      </c>
      <c r="B19" s="38" t="s">
        <v>134</v>
      </c>
      <c r="C19" s="38" t="s">
        <v>310</v>
      </c>
      <c r="D19" s="30">
        <v>1</v>
      </c>
      <c r="E19" s="28" t="s">
        <v>357</v>
      </c>
      <c r="F19" s="29" t="s">
        <v>357</v>
      </c>
      <c r="G19" s="29" t="s">
        <v>357</v>
      </c>
      <c r="H19" s="29" t="s">
        <v>357</v>
      </c>
      <c r="I19" s="29" t="s">
        <v>357</v>
      </c>
      <c r="J19" s="29" t="s">
        <v>359</v>
      </c>
      <c r="K19" s="38" t="s">
        <v>476</v>
      </c>
      <c r="L19" s="30"/>
      <c r="M19" s="37" t="s">
        <v>357</v>
      </c>
      <c r="N19" s="38" t="s">
        <v>357</v>
      </c>
      <c r="O19" s="38" t="s">
        <v>357</v>
      </c>
      <c r="P19" s="38" t="s">
        <v>357</v>
      </c>
      <c r="Q19" s="38" t="s">
        <v>542</v>
      </c>
      <c r="R19" s="38" t="str">
        <f t="shared" si="0"/>
        <v>INCLUDE</v>
      </c>
      <c r="S19" s="38" t="s">
        <v>600</v>
      </c>
      <c r="T19" s="30">
        <v>1</v>
      </c>
      <c r="U19" s="28">
        <f t="shared" si="1"/>
        <v>1</v>
      </c>
      <c r="V19" s="29" t="b">
        <f t="shared" si="2"/>
        <v>0</v>
      </c>
      <c r="W19" s="29" t="str">
        <f t="shared" si="5"/>
        <v>INCLUDE</v>
      </c>
      <c r="X19" s="30"/>
    </row>
    <row r="20" spans="1:24" s="13" customFormat="1" ht="315" x14ac:dyDescent="0.25">
      <c r="A20" s="28">
        <v>138</v>
      </c>
      <c r="B20" s="38" t="s">
        <v>141</v>
      </c>
      <c r="C20" s="38" t="s">
        <v>317</v>
      </c>
      <c r="D20" s="30">
        <v>1</v>
      </c>
      <c r="E20" s="28" t="s">
        <v>357</v>
      </c>
      <c r="F20" s="29" t="s">
        <v>357</v>
      </c>
      <c r="G20" s="29" t="s">
        <v>357</v>
      </c>
      <c r="H20" s="29" t="s">
        <v>357</v>
      </c>
      <c r="I20" s="29" t="s">
        <v>357</v>
      </c>
      <c r="J20" s="29" t="s">
        <v>359</v>
      </c>
      <c r="K20" s="38" t="s">
        <v>532</v>
      </c>
      <c r="L20" s="30">
        <v>1</v>
      </c>
      <c r="M20" s="37" t="s">
        <v>357</v>
      </c>
      <c r="N20" s="38" t="s">
        <v>357</v>
      </c>
      <c r="O20" s="38" t="s">
        <v>357</v>
      </c>
      <c r="P20" s="38" t="s">
        <v>357</v>
      </c>
      <c r="Q20" s="38" t="s">
        <v>542</v>
      </c>
      <c r="R20" s="38" t="str">
        <f t="shared" si="0"/>
        <v>INCLUDE</v>
      </c>
      <c r="S20" s="38" t="s">
        <v>604</v>
      </c>
      <c r="T20" s="30">
        <v>1</v>
      </c>
      <c r="U20" s="28">
        <f t="shared" si="1"/>
        <v>1</v>
      </c>
      <c r="V20" s="29" t="b">
        <f t="shared" si="2"/>
        <v>0</v>
      </c>
      <c r="W20" s="29" t="str">
        <f t="shared" si="5"/>
        <v>INCLUDE</v>
      </c>
      <c r="X20" s="30"/>
    </row>
    <row r="21" spans="1:24" s="13" customFormat="1" ht="405" x14ac:dyDescent="0.25">
      <c r="A21" s="28">
        <v>141</v>
      </c>
      <c r="B21" s="38" t="s">
        <v>144</v>
      </c>
      <c r="C21" s="38" t="s">
        <v>319</v>
      </c>
      <c r="D21" s="30">
        <v>1</v>
      </c>
      <c r="E21" s="28" t="s">
        <v>357</v>
      </c>
      <c r="F21" s="29" t="s">
        <v>357</v>
      </c>
      <c r="G21" s="29" t="s">
        <v>357</v>
      </c>
      <c r="H21" s="29" t="s">
        <v>357</v>
      </c>
      <c r="I21" s="29" t="s">
        <v>357</v>
      </c>
      <c r="J21" s="29" t="s">
        <v>359</v>
      </c>
      <c r="K21" s="38" t="s">
        <v>480</v>
      </c>
      <c r="L21" s="30"/>
      <c r="M21" s="37" t="s">
        <v>357</v>
      </c>
      <c r="N21" s="38" t="s">
        <v>357</v>
      </c>
      <c r="O21" s="38" t="s">
        <v>357</v>
      </c>
      <c r="P21" s="38" t="s">
        <v>357</v>
      </c>
      <c r="Q21" s="38" t="s">
        <v>542</v>
      </c>
      <c r="R21" s="38" t="str">
        <f t="shared" si="0"/>
        <v>INCLUDE</v>
      </c>
      <c r="S21" s="38" t="s">
        <v>606</v>
      </c>
      <c r="T21" s="30">
        <v>1</v>
      </c>
      <c r="U21" s="28">
        <f t="shared" si="1"/>
        <v>1</v>
      </c>
      <c r="V21" s="29" t="b">
        <f t="shared" si="2"/>
        <v>0</v>
      </c>
      <c r="W21" s="29" t="str">
        <f t="shared" si="5"/>
        <v>INCLUDE</v>
      </c>
      <c r="X21" s="30"/>
    </row>
    <row r="22" spans="1:24" s="13" customFormat="1" ht="135" x14ac:dyDescent="0.25">
      <c r="A22" s="28">
        <v>150</v>
      </c>
      <c r="B22" s="38" t="s">
        <v>152</v>
      </c>
      <c r="C22" s="38" t="s">
        <v>326</v>
      </c>
      <c r="D22" s="30">
        <v>1</v>
      </c>
      <c r="E22" s="28" t="s">
        <v>357</v>
      </c>
      <c r="F22" s="29" t="s">
        <v>357</v>
      </c>
      <c r="G22" s="29" t="s">
        <v>358</v>
      </c>
      <c r="H22" s="29" t="s">
        <v>357</v>
      </c>
      <c r="I22" s="29" t="s">
        <v>357</v>
      </c>
      <c r="J22" s="29" t="s">
        <v>360</v>
      </c>
      <c r="K22" s="38" t="s">
        <v>534</v>
      </c>
      <c r="L22" s="30"/>
      <c r="M22" s="37" t="s">
        <v>357</v>
      </c>
      <c r="N22" s="38" t="s">
        <v>357</v>
      </c>
      <c r="O22" s="38" t="s">
        <v>357</v>
      </c>
      <c r="P22" s="38" t="s">
        <v>357</v>
      </c>
      <c r="Q22" s="38" t="s">
        <v>542</v>
      </c>
      <c r="R22" s="38" t="str">
        <f t="shared" si="0"/>
        <v>INCLUDE</v>
      </c>
      <c r="S22" s="38" t="s">
        <v>608</v>
      </c>
      <c r="T22" s="30">
        <v>1</v>
      </c>
      <c r="U22" s="28">
        <f t="shared" si="1"/>
        <v>1</v>
      </c>
      <c r="V22" s="29" t="b">
        <f t="shared" si="2"/>
        <v>1</v>
      </c>
      <c r="W22" s="29" t="s">
        <v>360</v>
      </c>
      <c r="X22" s="31" t="s">
        <v>627</v>
      </c>
    </row>
    <row r="23" spans="1:24" s="13" customFormat="1" ht="240" x14ac:dyDescent="0.25">
      <c r="A23" s="28">
        <v>157</v>
      </c>
      <c r="B23" s="38" t="s">
        <v>157</v>
      </c>
      <c r="C23" s="38" t="s">
        <v>330</v>
      </c>
      <c r="D23" s="30">
        <v>1</v>
      </c>
      <c r="E23" s="28" t="s">
        <v>357</v>
      </c>
      <c r="F23" s="29" t="s">
        <v>357</v>
      </c>
      <c r="G23" s="29" t="s">
        <v>357</v>
      </c>
      <c r="H23" s="29" t="s">
        <v>357</v>
      </c>
      <c r="I23" s="29" t="s">
        <v>357</v>
      </c>
      <c r="J23" s="29" t="s">
        <v>359</v>
      </c>
      <c r="K23" s="38" t="s">
        <v>490</v>
      </c>
      <c r="L23" s="30"/>
      <c r="M23" s="37" t="s">
        <v>357</v>
      </c>
      <c r="N23" s="38" t="s">
        <v>357</v>
      </c>
      <c r="O23" s="38" t="s">
        <v>357</v>
      </c>
      <c r="P23" s="38" t="s">
        <v>357</v>
      </c>
      <c r="Q23" s="38" t="s">
        <v>542</v>
      </c>
      <c r="R23" s="38" t="str">
        <f t="shared" si="0"/>
        <v>INCLUDE</v>
      </c>
      <c r="S23" s="38" t="s">
        <v>609</v>
      </c>
      <c r="T23" s="30">
        <v>1</v>
      </c>
      <c r="U23" s="28">
        <f t="shared" si="1"/>
        <v>1</v>
      </c>
      <c r="V23" s="29" t="b">
        <f t="shared" si="2"/>
        <v>0</v>
      </c>
      <c r="W23" s="29" t="str">
        <f t="shared" ref="W23:W25" si="6">J23</f>
        <v>INCLUDE</v>
      </c>
      <c r="X23" s="30"/>
    </row>
    <row r="24" spans="1:24" s="13" customFormat="1" ht="135" x14ac:dyDescent="0.25">
      <c r="A24" s="28">
        <v>166</v>
      </c>
      <c r="B24" s="38" t="s">
        <v>163</v>
      </c>
      <c r="C24" s="38" t="s">
        <v>334</v>
      </c>
      <c r="D24" s="30">
        <v>1</v>
      </c>
      <c r="E24" s="28" t="s">
        <v>357</v>
      </c>
      <c r="F24" s="29" t="s">
        <v>357</v>
      </c>
      <c r="G24" s="29" t="s">
        <v>357</v>
      </c>
      <c r="H24" s="29" t="s">
        <v>357</v>
      </c>
      <c r="I24" s="29" t="s">
        <v>357</v>
      </c>
      <c r="J24" s="29" t="s">
        <v>359</v>
      </c>
      <c r="K24" s="38" t="s">
        <v>493</v>
      </c>
      <c r="L24" s="30"/>
      <c r="M24" s="37" t="s">
        <v>357</v>
      </c>
      <c r="N24" s="38" t="s">
        <v>357</v>
      </c>
      <c r="O24" s="38" t="s">
        <v>357</v>
      </c>
      <c r="P24" s="38" t="s">
        <v>357</v>
      </c>
      <c r="Q24" s="38" t="s">
        <v>542</v>
      </c>
      <c r="R24" s="38" t="str">
        <f t="shared" si="0"/>
        <v>INCLUDE</v>
      </c>
      <c r="S24" s="38" t="s">
        <v>611</v>
      </c>
      <c r="T24" s="30">
        <v>1</v>
      </c>
      <c r="U24" s="28">
        <f t="shared" si="1"/>
        <v>1</v>
      </c>
      <c r="V24" s="29" t="b">
        <f t="shared" si="2"/>
        <v>0</v>
      </c>
      <c r="W24" s="29" t="str">
        <f t="shared" si="6"/>
        <v>INCLUDE</v>
      </c>
      <c r="X24" s="30"/>
    </row>
    <row r="25" spans="1:24" s="13" customFormat="1" ht="225" x14ac:dyDescent="0.25">
      <c r="A25" s="28">
        <v>171</v>
      </c>
      <c r="B25" s="38" t="s">
        <v>167</v>
      </c>
      <c r="C25" s="38" t="s">
        <v>338</v>
      </c>
      <c r="D25" s="30">
        <v>1</v>
      </c>
      <c r="E25" s="28" t="s">
        <v>357</v>
      </c>
      <c r="F25" s="29" t="s">
        <v>357</v>
      </c>
      <c r="G25" s="29" t="s">
        <v>357</v>
      </c>
      <c r="H25" s="29" t="s">
        <v>357</v>
      </c>
      <c r="I25" s="29" t="s">
        <v>357</v>
      </c>
      <c r="J25" s="29" t="s">
        <v>359</v>
      </c>
      <c r="K25" s="38" t="s">
        <v>497</v>
      </c>
      <c r="L25" s="30"/>
      <c r="M25" s="37" t="s">
        <v>357</v>
      </c>
      <c r="N25" s="38" t="s">
        <v>357</v>
      </c>
      <c r="O25" s="38" t="s">
        <v>357</v>
      </c>
      <c r="P25" s="38" t="s">
        <v>357</v>
      </c>
      <c r="Q25" s="38" t="s">
        <v>542</v>
      </c>
      <c r="R25" s="38" t="str">
        <f t="shared" si="0"/>
        <v>INCLUDE</v>
      </c>
      <c r="S25" s="38" t="s">
        <v>613</v>
      </c>
      <c r="T25" s="30">
        <v>1</v>
      </c>
      <c r="U25" s="28">
        <f t="shared" si="1"/>
        <v>1</v>
      </c>
      <c r="V25" s="29" t="b">
        <f t="shared" si="2"/>
        <v>0</v>
      </c>
      <c r="W25" s="29" t="str">
        <f t="shared" si="6"/>
        <v>INCLUDE</v>
      </c>
      <c r="X25" s="30"/>
    </row>
    <row r="26" spans="1:24" s="13" customFormat="1" ht="225" x14ac:dyDescent="0.25">
      <c r="A26" s="28">
        <v>177</v>
      </c>
      <c r="B26" s="38" t="s">
        <v>173</v>
      </c>
      <c r="C26" s="38" t="s">
        <v>344</v>
      </c>
      <c r="D26" s="30">
        <v>1</v>
      </c>
      <c r="E26" s="28" t="s">
        <v>357</v>
      </c>
      <c r="F26" s="29" t="s">
        <v>357</v>
      </c>
      <c r="G26" s="29" t="s">
        <v>358</v>
      </c>
      <c r="H26" s="29" t="s">
        <v>357</v>
      </c>
      <c r="I26" s="29" t="s">
        <v>357</v>
      </c>
      <c r="J26" s="29" t="s">
        <v>360</v>
      </c>
      <c r="K26" s="38" t="s">
        <v>533</v>
      </c>
      <c r="L26" s="30"/>
      <c r="M26" s="37" t="s">
        <v>357</v>
      </c>
      <c r="N26" s="38" t="s">
        <v>357</v>
      </c>
      <c r="O26" s="38" t="s">
        <v>357</v>
      </c>
      <c r="P26" s="38" t="s">
        <v>357</v>
      </c>
      <c r="Q26" s="38" t="s">
        <v>542</v>
      </c>
      <c r="R26" s="38" t="str">
        <f t="shared" si="0"/>
        <v>INCLUDE</v>
      </c>
      <c r="S26" s="38" t="s">
        <v>616</v>
      </c>
      <c r="T26" s="30">
        <v>1</v>
      </c>
      <c r="U26" s="28">
        <f t="shared" si="1"/>
        <v>1</v>
      </c>
      <c r="V26" s="29" t="b">
        <f t="shared" si="2"/>
        <v>1</v>
      </c>
      <c r="W26" s="29" t="s">
        <v>360</v>
      </c>
      <c r="X26" s="31" t="s">
        <v>627</v>
      </c>
    </row>
    <row r="27" spans="1:24" s="13" customFormat="1" ht="150" x14ac:dyDescent="0.25">
      <c r="A27" s="28">
        <v>1</v>
      </c>
      <c r="B27" s="38" t="s">
        <v>11</v>
      </c>
      <c r="C27" s="38" t="s">
        <v>186</v>
      </c>
      <c r="D27" s="30">
        <v>1</v>
      </c>
      <c r="E27" s="28" t="s">
        <v>357</v>
      </c>
      <c r="F27" s="29" t="s">
        <v>357</v>
      </c>
      <c r="G27" s="29" t="s">
        <v>357</v>
      </c>
      <c r="H27" s="29" t="s">
        <v>357</v>
      </c>
      <c r="I27" s="29" t="s">
        <v>357</v>
      </c>
      <c r="J27" s="29" t="s">
        <v>359</v>
      </c>
      <c r="K27" s="38" t="s">
        <v>370</v>
      </c>
      <c r="L27" s="30"/>
      <c r="M27" s="37" t="s">
        <v>357</v>
      </c>
      <c r="N27" s="38" t="s">
        <v>357</v>
      </c>
      <c r="O27" s="38" t="s">
        <v>357</v>
      </c>
      <c r="P27" s="38" t="s">
        <v>357</v>
      </c>
      <c r="Q27" s="38" t="s">
        <v>542</v>
      </c>
      <c r="R27" s="38" t="str">
        <f t="shared" si="0"/>
        <v>INCLUDE</v>
      </c>
      <c r="S27" s="38"/>
      <c r="T27" s="30"/>
      <c r="U27" s="28" t="str">
        <f t="shared" si="1"/>
        <v/>
      </c>
      <c r="V27" s="29" t="b">
        <f t="shared" si="2"/>
        <v>0</v>
      </c>
      <c r="W27" s="29" t="str">
        <f t="shared" ref="W27:W40" si="7">J27</f>
        <v>INCLUDE</v>
      </c>
      <c r="X27" s="30"/>
    </row>
    <row r="28" spans="1:24" s="13" customFormat="1" ht="180" x14ac:dyDescent="0.25">
      <c r="A28" s="28">
        <v>2</v>
      </c>
      <c r="B28" s="38" t="s">
        <v>12</v>
      </c>
      <c r="C28" s="38" t="s">
        <v>187</v>
      </c>
      <c r="D28" s="30">
        <v>1</v>
      </c>
      <c r="E28" s="28" t="s">
        <v>357</v>
      </c>
      <c r="F28" s="29" t="s">
        <v>357</v>
      </c>
      <c r="G28" s="29" t="s">
        <v>357</v>
      </c>
      <c r="H28" s="29" t="s">
        <v>357</v>
      </c>
      <c r="I28" s="29" t="s">
        <v>357</v>
      </c>
      <c r="J28" s="29" t="s">
        <v>359</v>
      </c>
      <c r="K28" s="38" t="s">
        <v>369</v>
      </c>
      <c r="L28" s="30"/>
      <c r="M28" s="37" t="s">
        <v>357</v>
      </c>
      <c r="N28" s="38" t="s">
        <v>357</v>
      </c>
      <c r="O28" s="38" t="s">
        <v>357</v>
      </c>
      <c r="P28" s="38" t="s">
        <v>357</v>
      </c>
      <c r="Q28" s="38" t="s">
        <v>542</v>
      </c>
      <c r="R28" s="38" t="str">
        <f t="shared" si="0"/>
        <v>INCLUDE</v>
      </c>
      <c r="S28" s="38"/>
      <c r="T28" s="30"/>
      <c r="U28" s="28" t="str">
        <f t="shared" si="1"/>
        <v/>
      </c>
      <c r="V28" s="29" t="b">
        <f t="shared" si="2"/>
        <v>0</v>
      </c>
      <c r="W28" s="29" t="str">
        <f t="shared" si="7"/>
        <v>INCLUDE</v>
      </c>
      <c r="X28" s="30"/>
    </row>
    <row r="29" spans="1:24" s="13" customFormat="1" ht="105" x14ac:dyDescent="0.25">
      <c r="A29" s="28">
        <v>3</v>
      </c>
      <c r="B29" s="38" t="s">
        <v>13</v>
      </c>
      <c r="C29" s="38" t="s">
        <v>188</v>
      </c>
      <c r="D29" s="30">
        <v>1</v>
      </c>
      <c r="E29" s="28" t="s">
        <v>357</v>
      </c>
      <c r="F29" s="29" t="s">
        <v>357</v>
      </c>
      <c r="G29" s="29" t="s">
        <v>357</v>
      </c>
      <c r="H29" s="29" t="s">
        <v>357</v>
      </c>
      <c r="I29" s="29" t="s">
        <v>357</v>
      </c>
      <c r="J29" s="29" t="s">
        <v>359</v>
      </c>
      <c r="K29" s="38" t="s">
        <v>371</v>
      </c>
      <c r="L29" s="30"/>
      <c r="M29" s="37" t="s">
        <v>357</v>
      </c>
      <c r="N29" s="38" t="s">
        <v>357</v>
      </c>
      <c r="O29" s="38" t="s">
        <v>357</v>
      </c>
      <c r="P29" s="38" t="s">
        <v>357</v>
      </c>
      <c r="Q29" s="38" t="s">
        <v>542</v>
      </c>
      <c r="R29" s="38" t="str">
        <f t="shared" si="0"/>
        <v>INCLUDE</v>
      </c>
      <c r="S29" s="38"/>
      <c r="T29" s="30"/>
      <c r="U29" s="28" t="str">
        <f t="shared" si="1"/>
        <v/>
      </c>
      <c r="V29" s="29" t="b">
        <f t="shared" si="2"/>
        <v>0</v>
      </c>
      <c r="W29" s="29" t="str">
        <f t="shared" si="7"/>
        <v>INCLUDE</v>
      </c>
      <c r="X29" s="30"/>
    </row>
    <row r="30" spans="1:24" s="13" customFormat="1" ht="135" x14ac:dyDescent="0.25">
      <c r="A30" s="28">
        <v>4</v>
      </c>
      <c r="B30" s="38" t="s">
        <v>14</v>
      </c>
      <c r="C30" s="38" t="s">
        <v>189</v>
      </c>
      <c r="D30" s="30">
        <v>1</v>
      </c>
      <c r="E30" s="28" t="s">
        <v>357</v>
      </c>
      <c r="F30" s="29" t="s">
        <v>357</v>
      </c>
      <c r="G30" s="29" t="s">
        <v>357</v>
      </c>
      <c r="H30" s="29" t="s">
        <v>357</v>
      </c>
      <c r="I30" s="29" t="s">
        <v>357</v>
      </c>
      <c r="J30" s="29" t="s">
        <v>359</v>
      </c>
      <c r="K30" s="38" t="s">
        <v>372</v>
      </c>
      <c r="L30" s="30"/>
      <c r="M30" s="37" t="s">
        <v>357</v>
      </c>
      <c r="N30" s="38" t="s">
        <v>357</v>
      </c>
      <c r="O30" s="38" t="s">
        <v>357</v>
      </c>
      <c r="P30" s="38" t="s">
        <v>357</v>
      </c>
      <c r="Q30" s="38" t="s">
        <v>542</v>
      </c>
      <c r="R30" s="38" t="str">
        <f t="shared" si="0"/>
        <v>INCLUDE</v>
      </c>
      <c r="S30" s="38"/>
      <c r="T30" s="30"/>
      <c r="U30" s="28" t="str">
        <f t="shared" si="1"/>
        <v/>
      </c>
      <c r="V30" s="29" t="b">
        <f t="shared" si="2"/>
        <v>0</v>
      </c>
      <c r="W30" s="29" t="str">
        <f t="shared" si="7"/>
        <v>INCLUDE</v>
      </c>
      <c r="X30" s="30"/>
    </row>
    <row r="31" spans="1:24" s="13" customFormat="1" ht="285" x14ac:dyDescent="0.25">
      <c r="A31" s="28">
        <v>5</v>
      </c>
      <c r="B31" s="38" t="s">
        <v>15</v>
      </c>
      <c r="C31" s="38" t="s">
        <v>190</v>
      </c>
      <c r="D31" s="30">
        <v>1</v>
      </c>
      <c r="E31" s="28" t="s">
        <v>358</v>
      </c>
      <c r="F31" s="29" t="s">
        <v>357</v>
      </c>
      <c r="G31" s="29" t="s">
        <v>357</v>
      </c>
      <c r="H31" s="29" t="s">
        <v>357</v>
      </c>
      <c r="I31" s="29" t="s">
        <v>357</v>
      </c>
      <c r="J31" s="29" t="s">
        <v>360</v>
      </c>
      <c r="K31" s="38" t="s">
        <v>516</v>
      </c>
      <c r="L31" s="30"/>
      <c r="M31" s="37" t="s">
        <v>358</v>
      </c>
      <c r="N31" s="38"/>
      <c r="O31" s="38"/>
      <c r="P31" s="38"/>
      <c r="Q31" s="38"/>
      <c r="R31" s="38" t="str">
        <f t="shared" si="0"/>
        <v>EXCLUDE</v>
      </c>
      <c r="S31" s="38" t="s">
        <v>543</v>
      </c>
      <c r="T31" s="30"/>
      <c r="U31" s="28" t="str">
        <f t="shared" si="1"/>
        <v/>
      </c>
      <c r="V31" s="29" t="b">
        <f t="shared" si="2"/>
        <v>0</v>
      </c>
      <c r="W31" s="29" t="str">
        <f t="shared" si="7"/>
        <v>EXCLUDE</v>
      </c>
      <c r="X31" s="30"/>
    </row>
    <row r="32" spans="1:24" s="13" customFormat="1" ht="135" x14ac:dyDescent="0.25">
      <c r="A32" s="28">
        <v>6</v>
      </c>
      <c r="B32" s="38" t="s">
        <v>16</v>
      </c>
      <c r="C32" s="38" t="s">
        <v>191</v>
      </c>
      <c r="D32" s="30">
        <v>1</v>
      </c>
      <c r="E32" s="28" t="s">
        <v>357</v>
      </c>
      <c r="F32" s="29" t="s">
        <v>357</v>
      </c>
      <c r="G32" s="29" t="s">
        <v>357</v>
      </c>
      <c r="H32" s="29" t="s">
        <v>357</v>
      </c>
      <c r="I32" s="29" t="s">
        <v>357</v>
      </c>
      <c r="J32" s="29" t="s">
        <v>359</v>
      </c>
      <c r="K32" s="38" t="s">
        <v>373</v>
      </c>
      <c r="L32" s="30"/>
      <c r="M32" s="37" t="s">
        <v>357</v>
      </c>
      <c r="N32" s="38" t="s">
        <v>357</v>
      </c>
      <c r="O32" s="38" t="s">
        <v>357</v>
      </c>
      <c r="P32" s="38" t="s">
        <v>357</v>
      </c>
      <c r="Q32" s="38" t="s">
        <v>542</v>
      </c>
      <c r="R32" s="38" t="str">
        <f t="shared" si="0"/>
        <v>INCLUDE</v>
      </c>
      <c r="S32" s="38" t="s">
        <v>544</v>
      </c>
      <c r="T32" s="30"/>
      <c r="U32" s="28" t="str">
        <f t="shared" si="1"/>
        <v/>
      </c>
      <c r="V32" s="29" t="b">
        <f t="shared" si="2"/>
        <v>0</v>
      </c>
      <c r="W32" s="29" t="str">
        <f t="shared" si="7"/>
        <v>INCLUDE</v>
      </c>
      <c r="X32" s="30"/>
    </row>
    <row r="33" spans="1:24" s="13" customFormat="1" ht="300" x14ac:dyDescent="0.25">
      <c r="A33" s="28">
        <v>7</v>
      </c>
      <c r="B33" s="38" t="s">
        <v>17</v>
      </c>
      <c r="C33" s="38" t="s">
        <v>192</v>
      </c>
      <c r="D33" s="30">
        <v>1</v>
      </c>
      <c r="E33" s="28" t="s">
        <v>357</v>
      </c>
      <c r="F33" s="29" t="s">
        <v>357</v>
      </c>
      <c r="G33" s="29" t="s">
        <v>357</v>
      </c>
      <c r="H33" s="29" t="s">
        <v>357</v>
      </c>
      <c r="I33" s="29" t="s">
        <v>357</v>
      </c>
      <c r="J33" s="29" t="s">
        <v>359</v>
      </c>
      <c r="K33" s="38" t="s">
        <v>374</v>
      </c>
      <c r="L33" s="30"/>
      <c r="M33" s="37" t="s">
        <v>357</v>
      </c>
      <c r="N33" s="38" t="s">
        <v>357</v>
      </c>
      <c r="O33" s="38" t="s">
        <v>357</v>
      </c>
      <c r="P33" s="38" t="s">
        <v>357</v>
      </c>
      <c r="Q33" s="38" t="s">
        <v>542</v>
      </c>
      <c r="R33" s="38" t="str">
        <f t="shared" si="0"/>
        <v>INCLUDE</v>
      </c>
      <c r="S33" s="38" t="s">
        <v>545</v>
      </c>
      <c r="T33" s="30"/>
      <c r="U33" s="28" t="str">
        <f t="shared" si="1"/>
        <v/>
      </c>
      <c r="V33" s="29" t="b">
        <f t="shared" si="2"/>
        <v>0</v>
      </c>
      <c r="W33" s="29" t="str">
        <f t="shared" si="7"/>
        <v>INCLUDE</v>
      </c>
      <c r="X33" s="30"/>
    </row>
    <row r="34" spans="1:24" s="13" customFormat="1" ht="270" x14ac:dyDescent="0.25">
      <c r="A34" s="28">
        <v>8</v>
      </c>
      <c r="B34" s="38" t="s">
        <v>18</v>
      </c>
      <c r="C34" s="38" t="s">
        <v>193</v>
      </c>
      <c r="D34" s="30">
        <v>1</v>
      </c>
      <c r="E34" s="28" t="s">
        <v>357</v>
      </c>
      <c r="F34" s="29" t="s">
        <v>357</v>
      </c>
      <c r="G34" s="29" t="s">
        <v>357</v>
      </c>
      <c r="H34" s="29" t="s">
        <v>357</v>
      </c>
      <c r="I34" s="29" t="s">
        <v>357</v>
      </c>
      <c r="J34" s="29" t="s">
        <v>359</v>
      </c>
      <c r="K34" s="38" t="s">
        <v>375</v>
      </c>
      <c r="L34" s="30"/>
      <c r="M34" s="37" t="s">
        <v>357</v>
      </c>
      <c r="N34" s="38" t="s">
        <v>357</v>
      </c>
      <c r="O34" s="38" t="s">
        <v>357</v>
      </c>
      <c r="P34" s="38" t="s">
        <v>357</v>
      </c>
      <c r="Q34" s="38" t="s">
        <v>542</v>
      </c>
      <c r="R34" s="38" t="str">
        <f t="shared" si="0"/>
        <v>INCLUDE</v>
      </c>
      <c r="S34" s="38"/>
      <c r="T34" s="30"/>
      <c r="U34" s="28" t="str">
        <f t="shared" si="1"/>
        <v/>
      </c>
      <c r="V34" s="29" t="b">
        <f t="shared" si="2"/>
        <v>0</v>
      </c>
      <c r="W34" s="29" t="str">
        <f t="shared" si="7"/>
        <v>INCLUDE</v>
      </c>
      <c r="X34" s="30"/>
    </row>
    <row r="35" spans="1:24" s="13" customFormat="1" ht="315" x14ac:dyDescent="0.25">
      <c r="A35" s="28">
        <v>9</v>
      </c>
      <c r="B35" s="38" t="s">
        <v>19</v>
      </c>
      <c r="C35" s="38" t="s">
        <v>194</v>
      </c>
      <c r="D35" s="30">
        <v>1</v>
      </c>
      <c r="E35" s="28" t="s">
        <v>357</v>
      </c>
      <c r="F35" s="29" t="s">
        <v>357</v>
      </c>
      <c r="G35" s="29" t="s">
        <v>357</v>
      </c>
      <c r="H35" s="29" t="s">
        <v>357</v>
      </c>
      <c r="I35" s="29" t="s">
        <v>357</v>
      </c>
      <c r="J35" s="29" t="s">
        <v>359</v>
      </c>
      <c r="K35" s="38" t="s">
        <v>376</v>
      </c>
      <c r="L35" s="30"/>
      <c r="M35" s="37" t="s">
        <v>357</v>
      </c>
      <c r="N35" s="38" t="s">
        <v>357</v>
      </c>
      <c r="O35" s="38" t="s">
        <v>357</v>
      </c>
      <c r="P35" s="38" t="s">
        <v>357</v>
      </c>
      <c r="Q35" s="38" t="s">
        <v>542</v>
      </c>
      <c r="R35" s="38" t="str">
        <f t="shared" ref="R35:R66" si="8">IF(COUNTA(M35:Q35)=0,"",IF(COUNTIF(M35:Q35,"Yes")&gt;0,"EXCLUDE","INCLUDE"))</f>
        <v>INCLUDE</v>
      </c>
      <c r="S35" s="38"/>
      <c r="T35" s="30"/>
      <c r="U35" s="28" t="str">
        <f t="shared" si="1"/>
        <v/>
      </c>
      <c r="V35" s="29" t="b">
        <f t="shared" si="2"/>
        <v>0</v>
      </c>
      <c r="W35" s="29" t="str">
        <f t="shared" si="7"/>
        <v>INCLUDE</v>
      </c>
      <c r="X35" s="30"/>
    </row>
    <row r="36" spans="1:24" s="13" customFormat="1" ht="195" x14ac:dyDescent="0.25">
      <c r="A36" s="28">
        <v>10</v>
      </c>
      <c r="B36" s="38" t="s">
        <v>20</v>
      </c>
      <c r="C36" s="38" t="s">
        <v>195</v>
      </c>
      <c r="D36" s="30">
        <v>1</v>
      </c>
      <c r="E36" s="28" t="s">
        <v>357</v>
      </c>
      <c r="F36" s="29" t="s">
        <v>357</v>
      </c>
      <c r="G36" s="29" t="s">
        <v>357</v>
      </c>
      <c r="H36" s="29" t="s">
        <v>357</v>
      </c>
      <c r="I36" s="29" t="s">
        <v>357</v>
      </c>
      <c r="J36" s="29" t="s">
        <v>359</v>
      </c>
      <c r="K36" s="38" t="s">
        <v>377</v>
      </c>
      <c r="L36" s="30"/>
      <c r="M36" s="37" t="s">
        <v>357</v>
      </c>
      <c r="N36" s="38" t="s">
        <v>357</v>
      </c>
      <c r="O36" s="38" t="s">
        <v>357</v>
      </c>
      <c r="P36" s="38" t="s">
        <v>357</v>
      </c>
      <c r="Q36" s="38" t="s">
        <v>542</v>
      </c>
      <c r="R36" s="38" t="str">
        <f t="shared" si="8"/>
        <v>INCLUDE</v>
      </c>
      <c r="S36" s="38"/>
      <c r="T36" s="30"/>
      <c r="U36" s="28" t="str">
        <f t="shared" si="1"/>
        <v/>
      </c>
      <c r="V36" s="29" t="b">
        <f t="shared" si="2"/>
        <v>0</v>
      </c>
      <c r="W36" s="29" t="str">
        <f t="shared" si="7"/>
        <v>INCLUDE</v>
      </c>
      <c r="X36" s="30"/>
    </row>
    <row r="37" spans="1:24" s="13" customFormat="1" ht="165" x14ac:dyDescent="0.25">
      <c r="A37" s="28">
        <v>11</v>
      </c>
      <c r="B37" s="38" t="s">
        <v>21</v>
      </c>
      <c r="C37" s="38" t="s">
        <v>196</v>
      </c>
      <c r="D37" s="30">
        <v>1</v>
      </c>
      <c r="E37" s="28" t="s">
        <v>357</v>
      </c>
      <c r="F37" s="29" t="s">
        <v>357</v>
      </c>
      <c r="G37" s="29" t="s">
        <v>357</v>
      </c>
      <c r="H37" s="29" t="s">
        <v>357</v>
      </c>
      <c r="I37" s="29" t="s">
        <v>357</v>
      </c>
      <c r="J37" s="29" t="s">
        <v>359</v>
      </c>
      <c r="K37" s="38" t="s">
        <v>378</v>
      </c>
      <c r="L37" s="30"/>
      <c r="M37" s="37" t="s">
        <v>357</v>
      </c>
      <c r="N37" s="38" t="s">
        <v>357</v>
      </c>
      <c r="O37" s="38" t="s">
        <v>357</v>
      </c>
      <c r="P37" s="38" t="s">
        <v>357</v>
      </c>
      <c r="Q37" s="38" t="s">
        <v>542</v>
      </c>
      <c r="R37" s="38" t="str">
        <f t="shared" si="8"/>
        <v>INCLUDE</v>
      </c>
      <c r="S37" s="38"/>
      <c r="T37" s="30"/>
      <c r="U37" s="28" t="str">
        <f t="shared" si="1"/>
        <v/>
      </c>
      <c r="V37" s="29" t="b">
        <f t="shared" si="2"/>
        <v>0</v>
      </c>
      <c r="W37" s="29" t="str">
        <f t="shared" si="7"/>
        <v>INCLUDE</v>
      </c>
      <c r="X37" s="30"/>
    </row>
    <row r="38" spans="1:24" s="13" customFormat="1" ht="255" x14ac:dyDescent="0.25">
      <c r="A38" s="28">
        <v>13</v>
      </c>
      <c r="B38" s="38" t="s">
        <v>22</v>
      </c>
      <c r="C38" s="38" t="s">
        <v>197</v>
      </c>
      <c r="D38" s="30">
        <v>1</v>
      </c>
      <c r="E38" s="28" t="s">
        <v>357</v>
      </c>
      <c r="F38" s="29" t="s">
        <v>357</v>
      </c>
      <c r="G38" s="29" t="s">
        <v>357</v>
      </c>
      <c r="H38" s="29" t="s">
        <v>357</v>
      </c>
      <c r="I38" s="29" t="s">
        <v>357</v>
      </c>
      <c r="J38" s="29" t="s">
        <v>359</v>
      </c>
      <c r="K38" s="38" t="s">
        <v>536</v>
      </c>
      <c r="L38" s="30"/>
      <c r="M38" s="37" t="s">
        <v>357</v>
      </c>
      <c r="N38" s="38" t="s">
        <v>357</v>
      </c>
      <c r="O38" s="38" t="s">
        <v>357</v>
      </c>
      <c r="P38" s="38" t="s">
        <v>357</v>
      </c>
      <c r="Q38" s="38" t="s">
        <v>542</v>
      </c>
      <c r="R38" s="38" t="str">
        <f t="shared" si="8"/>
        <v>INCLUDE</v>
      </c>
      <c r="S38" s="38"/>
      <c r="T38" s="30"/>
      <c r="U38" s="28" t="str">
        <f t="shared" si="1"/>
        <v/>
      </c>
      <c r="V38" s="29" t="b">
        <f t="shared" si="2"/>
        <v>0</v>
      </c>
      <c r="W38" s="29" t="str">
        <f t="shared" si="7"/>
        <v>INCLUDE</v>
      </c>
      <c r="X38" s="30"/>
    </row>
    <row r="39" spans="1:24" s="13" customFormat="1" ht="150" x14ac:dyDescent="0.25">
      <c r="A39" s="28">
        <v>14</v>
      </c>
      <c r="B39" s="38" t="s">
        <v>23</v>
      </c>
      <c r="C39" s="38" t="s">
        <v>198</v>
      </c>
      <c r="D39" s="30">
        <v>1</v>
      </c>
      <c r="E39" s="28" t="s">
        <v>357</v>
      </c>
      <c r="F39" s="29" t="s">
        <v>357</v>
      </c>
      <c r="G39" s="29" t="s">
        <v>357</v>
      </c>
      <c r="H39" s="29" t="s">
        <v>357</v>
      </c>
      <c r="I39" s="29" t="s">
        <v>357</v>
      </c>
      <c r="J39" s="29" t="s">
        <v>359</v>
      </c>
      <c r="K39" s="38" t="s">
        <v>379</v>
      </c>
      <c r="L39" s="30"/>
      <c r="M39" s="37" t="s">
        <v>357</v>
      </c>
      <c r="N39" s="38" t="s">
        <v>357</v>
      </c>
      <c r="O39" s="38" t="s">
        <v>357</v>
      </c>
      <c r="P39" s="38" t="s">
        <v>357</v>
      </c>
      <c r="Q39" s="38" t="s">
        <v>542</v>
      </c>
      <c r="R39" s="38" t="str">
        <f t="shared" si="8"/>
        <v>INCLUDE</v>
      </c>
      <c r="S39" s="38"/>
      <c r="T39" s="30"/>
      <c r="U39" s="28" t="str">
        <f t="shared" si="1"/>
        <v/>
      </c>
      <c r="V39" s="29" t="b">
        <f t="shared" si="2"/>
        <v>0</v>
      </c>
      <c r="W39" s="29" t="str">
        <f t="shared" si="7"/>
        <v>INCLUDE</v>
      </c>
      <c r="X39" s="30"/>
    </row>
    <row r="40" spans="1:24" s="13" customFormat="1" ht="225" x14ac:dyDescent="0.25">
      <c r="A40" s="28">
        <v>15</v>
      </c>
      <c r="B40" s="38" t="s">
        <v>24</v>
      </c>
      <c r="C40" s="38" t="s">
        <v>199</v>
      </c>
      <c r="D40" s="30">
        <v>1</v>
      </c>
      <c r="E40" s="28" t="s">
        <v>357</v>
      </c>
      <c r="F40" s="29" t="s">
        <v>357</v>
      </c>
      <c r="G40" s="29" t="s">
        <v>357</v>
      </c>
      <c r="H40" s="29" t="s">
        <v>357</v>
      </c>
      <c r="I40" s="29" t="s">
        <v>357</v>
      </c>
      <c r="J40" s="29" t="s">
        <v>359</v>
      </c>
      <c r="K40" s="38" t="s">
        <v>380</v>
      </c>
      <c r="L40" s="30"/>
      <c r="M40" s="37" t="s">
        <v>357</v>
      </c>
      <c r="N40" s="38" t="s">
        <v>357</v>
      </c>
      <c r="O40" s="38" t="s">
        <v>357</v>
      </c>
      <c r="P40" s="38" t="s">
        <v>357</v>
      </c>
      <c r="Q40" s="38" t="s">
        <v>542</v>
      </c>
      <c r="R40" s="38" t="str">
        <f t="shared" si="8"/>
        <v>INCLUDE</v>
      </c>
      <c r="S40" s="38"/>
      <c r="T40" s="30"/>
      <c r="U40" s="28" t="str">
        <f t="shared" si="1"/>
        <v/>
      </c>
      <c r="V40" s="29" t="b">
        <f t="shared" si="2"/>
        <v>0</v>
      </c>
      <c r="W40" s="29" t="str">
        <f t="shared" si="7"/>
        <v>INCLUDE</v>
      </c>
      <c r="X40" s="30"/>
    </row>
    <row r="41" spans="1:24" s="13" customFormat="1" ht="375" x14ac:dyDescent="0.25">
      <c r="A41" s="28">
        <v>16</v>
      </c>
      <c r="B41" s="38" t="s">
        <v>25</v>
      </c>
      <c r="C41" s="38" t="s">
        <v>200</v>
      </c>
      <c r="D41" s="30">
        <v>1</v>
      </c>
      <c r="E41" s="28" t="s">
        <v>357</v>
      </c>
      <c r="F41" s="29" t="s">
        <v>357</v>
      </c>
      <c r="G41" s="29" t="s">
        <v>358</v>
      </c>
      <c r="H41" s="29" t="s">
        <v>357</v>
      </c>
      <c r="I41" s="29" t="s">
        <v>357</v>
      </c>
      <c r="J41" s="29" t="s">
        <v>360</v>
      </c>
      <c r="K41" s="38" t="s">
        <v>522</v>
      </c>
      <c r="L41" s="30"/>
      <c r="M41" s="37" t="s">
        <v>357</v>
      </c>
      <c r="N41" s="38" t="s">
        <v>357</v>
      </c>
      <c r="O41" s="38" t="s">
        <v>357</v>
      </c>
      <c r="P41" s="38" t="s">
        <v>357</v>
      </c>
      <c r="Q41" s="38" t="s">
        <v>542</v>
      </c>
      <c r="R41" s="38" t="str">
        <f t="shared" si="8"/>
        <v>INCLUDE</v>
      </c>
      <c r="S41" s="38" t="s">
        <v>546</v>
      </c>
      <c r="T41" s="30"/>
      <c r="U41" s="28" t="str">
        <f t="shared" si="1"/>
        <v/>
      </c>
      <c r="V41" s="29" t="b">
        <f t="shared" si="2"/>
        <v>1</v>
      </c>
      <c r="W41" s="29" t="s">
        <v>360</v>
      </c>
      <c r="X41" s="31" t="s">
        <v>627</v>
      </c>
    </row>
    <row r="42" spans="1:24" s="13" customFormat="1" ht="300" x14ac:dyDescent="0.25">
      <c r="A42" s="28">
        <v>17</v>
      </c>
      <c r="B42" s="38" t="s">
        <v>26</v>
      </c>
      <c r="C42" s="38" t="s">
        <v>201</v>
      </c>
      <c r="D42" s="30">
        <v>1</v>
      </c>
      <c r="E42" s="28" t="s">
        <v>357</v>
      </c>
      <c r="F42" s="29" t="s">
        <v>357</v>
      </c>
      <c r="G42" s="29" t="s">
        <v>357</v>
      </c>
      <c r="H42" s="29" t="s">
        <v>357</v>
      </c>
      <c r="I42" s="29" t="s">
        <v>357</v>
      </c>
      <c r="J42" s="29" t="s">
        <v>359</v>
      </c>
      <c r="K42" s="38" t="s">
        <v>381</v>
      </c>
      <c r="L42" s="30"/>
      <c r="M42" s="37" t="s">
        <v>357</v>
      </c>
      <c r="N42" s="38" t="s">
        <v>357</v>
      </c>
      <c r="O42" s="38" t="s">
        <v>357</v>
      </c>
      <c r="P42" s="38" t="s">
        <v>357</v>
      </c>
      <c r="Q42" s="38" t="s">
        <v>542</v>
      </c>
      <c r="R42" s="38" t="str">
        <f t="shared" si="8"/>
        <v>INCLUDE</v>
      </c>
      <c r="S42" s="38" t="s">
        <v>547</v>
      </c>
      <c r="T42" s="30"/>
      <c r="U42" s="28" t="str">
        <f t="shared" si="1"/>
        <v/>
      </c>
      <c r="V42" s="29" t="b">
        <f t="shared" si="2"/>
        <v>0</v>
      </c>
      <c r="W42" s="29" t="str">
        <f t="shared" ref="W42:W64" si="9">J42</f>
        <v>INCLUDE</v>
      </c>
      <c r="X42" s="30"/>
    </row>
    <row r="43" spans="1:24" s="13" customFormat="1" ht="390" x14ac:dyDescent="0.25">
      <c r="A43" s="28">
        <v>18</v>
      </c>
      <c r="B43" s="38" t="s">
        <v>27</v>
      </c>
      <c r="C43" s="38" t="s">
        <v>202</v>
      </c>
      <c r="D43" s="30">
        <v>1</v>
      </c>
      <c r="E43" s="28" t="s">
        <v>357</v>
      </c>
      <c r="F43" s="29" t="s">
        <v>357</v>
      </c>
      <c r="G43" s="29" t="s">
        <v>357</v>
      </c>
      <c r="H43" s="29" t="s">
        <v>357</v>
      </c>
      <c r="I43" s="29" t="s">
        <v>357</v>
      </c>
      <c r="J43" s="29" t="s">
        <v>359</v>
      </c>
      <c r="K43" s="38" t="s">
        <v>382</v>
      </c>
      <c r="L43" s="30"/>
      <c r="M43" s="37" t="s">
        <v>357</v>
      </c>
      <c r="N43" s="38" t="s">
        <v>357</v>
      </c>
      <c r="O43" s="38" t="s">
        <v>357</v>
      </c>
      <c r="P43" s="38" t="s">
        <v>357</v>
      </c>
      <c r="Q43" s="38" t="s">
        <v>542</v>
      </c>
      <c r="R43" s="38" t="str">
        <f t="shared" si="8"/>
        <v>INCLUDE</v>
      </c>
      <c r="S43" s="38" t="s">
        <v>514</v>
      </c>
      <c r="T43" s="30"/>
      <c r="U43" s="28" t="str">
        <f t="shared" si="1"/>
        <v/>
      </c>
      <c r="V43" s="29" t="b">
        <f t="shared" si="2"/>
        <v>0</v>
      </c>
      <c r="W43" s="29" t="str">
        <f t="shared" si="9"/>
        <v>INCLUDE</v>
      </c>
      <c r="X43" s="30"/>
    </row>
    <row r="44" spans="1:24" s="13" customFormat="1" ht="135" x14ac:dyDescent="0.25">
      <c r="A44" s="28">
        <v>20</v>
      </c>
      <c r="B44" s="38" t="s">
        <v>28</v>
      </c>
      <c r="C44" s="38" t="s">
        <v>203</v>
      </c>
      <c r="D44" s="30">
        <v>1</v>
      </c>
      <c r="E44" s="28" t="s">
        <v>357</v>
      </c>
      <c r="F44" s="29" t="s">
        <v>357</v>
      </c>
      <c r="G44" s="29" t="s">
        <v>357</v>
      </c>
      <c r="H44" s="29" t="s">
        <v>357</v>
      </c>
      <c r="I44" s="29" t="s">
        <v>357</v>
      </c>
      <c r="J44" s="29" t="s">
        <v>359</v>
      </c>
      <c r="K44" s="38" t="s">
        <v>383</v>
      </c>
      <c r="L44" s="30"/>
      <c r="M44" s="37" t="s">
        <v>357</v>
      </c>
      <c r="N44" s="38" t="s">
        <v>357</v>
      </c>
      <c r="O44" s="38" t="s">
        <v>357</v>
      </c>
      <c r="P44" s="38" t="s">
        <v>357</v>
      </c>
      <c r="Q44" s="38" t="s">
        <v>542</v>
      </c>
      <c r="R44" s="38" t="str">
        <f t="shared" si="8"/>
        <v>INCLUDE</v>
      </c>
      <c r="S44" s="38"/>
      <c r="T44" s="30"/>
      <c r="U44" s="28" t="str">
        <f t="shared" si="1"/>
        <v/>
      </c>
      <c r="V44" s="29" t="b">
        <f t="shared" si="2"/>
        <v>0</v>
      </c>
      <c r="W44" s="29" t="str">
        <f t="shared" si="9"/>
        <v>INCLUDE</v>
      </c>
      <c r="X44" s="30"/>
    </row>
    <row r="45" spans="1:24" s="13" customFormat="1" ht="360" x14ac:dyDescent="0.25">
      <c r="A45" s="28">
        <v>21</v>
      </c>
      <c r="B45" s="38" t="s">
        <v>29</v>
      </c>
      <c r="C45" s="38" t="s">
        <v>204</v>
      </c>
      <c r="D45" s="30">
        <v>1</v>
      </c>
      <c r="E45" s="28" t="s">
        <v>357</v>
      </c>
      <c r="F45" s="29" t="s">
        <v>357</v>
      </c>
      <c r="G45" s="29" t="s">
        <v>357</v>
      </c>
      <c r="H45" s="29" t="s">
        <v>357</v>
      </c>
      <c r="I45" s="29" t="s">
        <v>357</v>
      </c>
      <c r="J45" s="29" t="s">
        <v>359</v>
      </c>
      <c r="K45" s="38" t="s">
        <v>384</v>
      </c>
      <c r="L45" s="30"/>
      <c r="M45" s="37" t="s">
        <v>357</v>
      </c>
      <c r="N45" s="38" t="s">
        <v>357</v>
      </c>
      <c r="O45" s="38" t="s">
        <v>357</v>
      </c>
      <c r="P45" s="38" t="s">
        <v>357</v>
      </c>
      <c r="Q45" s="38" t="s">
        <v>542</v>
      </c>
      <c r="R45" s="38" t="str">
        <f t="shared" si="8"/>
        <v>INCLUDE</v>
      </c>
      <c r="S45" s="38"/>
      <c r="T45" s="30"/>
      <c r="U45" s="28" t="str">
        <f t="shared" si="1"/>
        <v/>
      </c>
      <c r="V45" s="29" t="b">
        <f t="shared" si="2"/>
        <v>0</v>
      </c>
      <c r="W45" s="29" t="str">
        <f t="shared" si="9"/>
        <v>INCLUDE</v>
      </c>
      <c r="X45" s="30"/>
    </row>
    <row r="46" spans="1:24" s="13" customFormat="1" ht="255" x14ac:dyDescent="0.25">
      <c r="A46" s="28">
        <v>23</v>
      </c>
      <c r="B46" s="38" t="s">
        <v>30</v>
      </c>
      <c r="C46" s="38" t="s">
        <v>205</v>
      </c>
      <c r="D46" s="30">
        <v>1</v>
      </c>
      <c r="E46" s="28" t="s">
        <v>357</v>
      </c>
      <c r="F46" s="29" t="s">
        <v>357</v>
      </c>
      <c r="G46" s="29" t="s">
        <v>357</v>
      </c>
      <c r="H46" s="29" t="s">
        <v>357</v>
      </c>
      <c r="I46" s="29" t="s">
        <v>357</v>
      </c>
      <c r="J46" s="29" t="s">
        <v>359</v>
      </c>
      <c r="K46" s="38" t="s">
        <v>385</v>
      </c>
      <c r="L46" s="30"/>
      <c r="M46" s="37" t="s">
        <v>357</v>
      </c>
      <c r="N46" s="38" t="s">
        <v>357</v>
      </c>
      <c r="O46" s="38" t="s">
        <v>357</v>
      </c>
      <c r="P46" s="38" t="s">
        <v>357</v>
      </c>
      <c r="Q46" s="38" t="s">
        <v>542</v>
      </c>
      <c r="R46" s="38" t="str">
        <f t="shared" si="8"/>
        <v>INCLUDE</v>
      </c>
      <c r="S46" s="38"/>
      <c r="T46" s="30"/>
      <c r="U46" s="28" t="str">
        <f t="shared" si="1"/>
        <v/>
      </c>
      <c r="V46" s="29" t="b">
        <f t="shared" si="2"/>
        <v>0</v>
      </c>
      <c r="W46" s="29" t="str">
        <f t="shared" si="9"/>
        <v>INCLUDE</v>
      </c>
      <c r="X46" s="30"/>
    </row>
    <row r="47" spans="1:24" s="13" customFormat="1" ht="225" x14ac:dyDescent="0.25">
      <c r="A47" s="28">
        <v>24</v>
      </c>
      <c r="B47" s="38" t="s">
        <v>31</v>
      </c>
      <c r="C47" s="38" t="s">
        <v>206</v>
      </c>
      <c r="D47" s="30">
        <v>1</v>
      </c>
      <c r="E47" s="28" t="s">
        <v>357</v>
      </c>
      <c r="F47" s="29" t="s">
        <v>357</v>
      </c>
      <c r="G47" s="29" t="s">
        <v>357</v>
      </c>
      <c r="H47" s="29" t="s">
        <v>357</v>
      </c>
      <c r="I47" s="29" t="s">
        <v>357</v>
      </c>
      <c r="J47" s="29" t="s">
        <v>359</v>
      </c>
      <c r="K47" s="38" t="s">
        <v>386</v>
      </c>
      <c r="L47" s="30"/>
      <c r="M47" s="37" t="s">
        <v>357</v>
      </c>
      <c r="N47" s="38" t="s">
        <v>357</v>
      </c>
      <c r="O47" s="38" t="s">
        <v>357</v>
      </c>
      <c r="P47" s="38" t="s">
        <v>357</v>
      </c>
      <c r="Q47" s="38" t="s">
        <v>542</v>
      </c>
      <c r="R47" s="38" t="str">
        <f t="shared" si="8"/>
        <v>INCLUDE</v>
      </c>
      <c r="S47" s="38"/>
      <c r="T47" s="30"/>
      <c r="U47" s="28" t="str">
        <f t="shared" si="1"/>
        <v/>
      </c>
      <c r="V47" s="29" t="b">
        <f t="shared" si="2"/>
        <v>0</v>
      </c>
      <c r="W47" s="29" t="str">
        <f t="shared" si="9"/>
        <v>INCLUDE</v>
      </c>
      <c r="X47" s="30"/>
    </row>
    <row r="48" spans="1:24" s="13" customFormat="1" ht="195" x14ac:dyDescent="0.25">
      <c r="A48" s="28">
        <v>25</v>
      </c>
      <c r="B48" s="38" t="s">
        <v>32</v>
      </c>
      <c r="C48" s="38" t="s">
        <v>207</v>
      </c>
      <c r="D48" s="30">
        <v>1</v>
      </c>
      <c r="E48" s="28" t="s">
        <v>357</v>
      </c>
      <c r="F48" s="29" t="s">
        <v>357</v>
      </c>
      <c r="G48" s="29" t="s">
        <v>357</v>
      </c>
      <c r="H48" s="29" t="s">
        <v>357</v>
      </c>
      <c r="I48" s="29" t="s">
        <v>357</v>
      </c>
      <c r="J48" s="29" t="s">
        <v>359</v>
      </c>
      <c r="K48" s="38" t="s">
        <v>387</v>
      </c>
      <c r="L48" s="30"/>
      <c r="M48" s="37" t="s">
        <v>357</v>
      </c>
      <c r="N48" s="38" t="s">
        <v>357</v>
      </c>
      <c r="O48" s="38" t="s">
        <v>357</v>
      </c>
      <c r="P48" s="38" t="s">
        <v>357</v>
      </c>
      <c r="Q48" s="38" t="s">
        <v>542</v>
      </c>
      <c r="R48" s="38" t="str">
        <f t="shared" si="8"/>
        <v>INCLUDE</v>
      </c>
      <c r="S48" s="38" t="s">
        <v>548</v>
      </c>
      <c r="T48" s="30"/>
      <c r="U48" s="28" t="str">
        <f t="shared" si="1"/>
        <v/>
      </c>
      <c r="V48" s="29" t="b">
        <f t="shared" si="2"/>
        <v>0</v>
      </c>
      <c r="W48" s="29" t="str">
        <f t="shared" si="9"/>
        <v>INCLUDE</v>
      </c>
      <c r="X48" s="30"/>
    </row>
    <row r="49" spans="1:24" s="13" customFormat="1" ht="225" x14ac:dyDescent="0.25">
      <c r="A49" s="28">
        <v>26</v>
      </c>
      <c r="B49" s="38" t="s">
        <v>33</v>
      </c>
      <c r="C49" s="38" t="s">
        <v>208</v>
      </c>
      <c r="D49" s="30">
        <v>1</v>
      </c>
      <c r="E49" s="28" t="s">
        <v>357</v>
      </c>
      <c r="F49" s="29" t="s">
        <v>357</v>
      </c>
      <c r="G49" s="29" t="s">
        <v>358</v>
      </c>
      <c r="H49" s="29" t="s">
        <v>357</v>
      </c>
      <c r="I49" s="29" t="s">
        <v>357</v>
      </c>
      <c r="J49" s="29" t="s">
        <v>360</v>
      </c>
      <c r="K49" s="38" t="s">
        <v>515</v>
      </c>
      <c r="L49" s="30"/>
      <c r="M49" s="37" t="s">
        <v>358</v>
      </c>
      <c r="N49" s="38"/>
      <c r="O49" s="38"/>
      <c r="P49" s="38"/>
      <c r="Q49" s="38"/>
      <c r="R49" s="38" t="str">
        <f t="shared" si="8"/>
        <v>EXCLUDE</v>
      </c>
      <c r="S49" s="38" t="s">
        <v>549</v>
      </c>
      <c r="T49" s="30"/>
      <c r="U49" s="28" t="str">
        <f t="shared" si="1"/>
        <v/>
      </c>
      <c r="V49" s="29" t="b">
        <f t="shared" si="2"/>
        <v>0</v>
      </c>
      <c r="W49" s="29" t="str">
        <f t="shared" si="9"/>
        <v>EXCLUDE</v>
      </c>
      <c r="X49" s="30"/>
    </row>
    <row r="50" spans="1:24" s="13" customFormat="1" ht="270" x14ac:dyDescent="0.25">
      <c r="A50" s="28">
        <v>27</v>
      </c>
      <c r="B50" s="38" t="s">
        <v>34</v>
      </c>
      <c r="C50" s="38" t="s">
        <v>209</v>
      </c>
      <c r="D50" s="30">
        <v>1</v>
      </c>
      <c r="E50" s="28" t="s">
        <v>357</v>
      </c>
      <c r="F50" s="29" t="s">
        <v>357</v>
      </c>
      <c r="G50" s="29" t="s">
        <v>357</v>
      </c>
      <c r="H50" s="29" t="s">
        <v>357</v>
      </c>
      <c r="I50" s="29" t="s">
        <v>357</v>
      </c>
      <c r="J50" s="29" t="s">
        <v>359</v>
      </c>
      <c r="K50" s="38" t="s">
        <v>388</v>
      </c>
      <c r="L50" s="30"/>
      <c r="M50" s="37" t="s">
        <v>357</v>
      </c>
      <c r="N50" s="38" t="s">
        <v>357</v>
      </c>
      <c r="O50" s="38" t="s">
        <v>357</v>
      </c>
      <c r="P50" s="38" t="s">
        <v>357</v>
      </c>
      <c r="Q50" s="38" t="s">
        <v>542</v>
      </c>
      <c r="R50" s="38" t="str">
        <f t="shared" si="8"/>
        <v>INCLUDE</v>
      </c>
      <c r="S50" s="38" t="s">
        <v>550</v>
      </c>
      <c r="T50" s="30"/>
      <c r="U50" s="28" t="str">
        <f t="shared" si="1"/>
        <v/>
      </c>
      <c r="V50" s="29" t="b">
        <f t="shared" si="2"/>
        <v>0</v>
      </c>
      <c r="W50" s="29" t="str">
        <f t="shared" si="9"/>
        <v>INCLUDE</v>
      </c>
      <c r="X50" s="30"/>
    </row>
    <row r="51" spans="1:24" s="13" customFormat="1" ht="285" x14ac:dyDescent="0.25">
      <c r="A51" s="28">
        <v>28</v>
      </c>
      <c r="B51" s="38" t="s">
        <v>35</v>
      </c>
      <c r="C51" s="38" t="s">
        <v>210</v>
      </c>
      <c r="D51" s="30">
        <v>1</v>
      </c>
      <c r="E51" s="28" t="s">
        <v>358</v>
      </c>
      <c r="F51" s="29" t="s">
        <v>357</v>
      </c>
      <c r="G51" s="29" t="s">
        <v>357</v>
      </c>
      <c r="H51" s="29" t="s">
        <v>357</v>
      </c>
      <c r="I51" s="29" t="s">
        <v>357</v>
      </c>
      <c r="J51" s="29" t="s">
        <v>360</v>
      </c>
      <c r="K51" s="38" t="s">
        <v>523</v>
      </c>
      <c r="L51" s="30"/>
      <c r="M51" s="37" t="s">
        <v>358</v>
      </c>
      <c r="N51" s="38"/>
      <c r="O51" s="38"/>
      <c r="P51" s="38"/>
      <c r="Q51" s="38"/>
      <c r="R51" s="38" t="str">
        <f t="shared" si="8"/>
        <v>EXCLUDE</v>
      </c>
      <c r="S51" s="38" t="s">
        <v>551</v>
      </c>
      <c r="T51" s="30"/>
      <c r="U51" s="28" t="str">
        <f t="shared" si="1"/>
        <v/>
      </c>
      <c r="V51" s="29" t="b">
        <f t="shared" si="2"/>
        <v>0</v>
      </c>
      <c r="W51" s="29" t="str">
        <f t="shared" si="9"/>
        <v>EXCLUDE</v>
      </c>
      <c r="X51" s="30"/>
    </row>
    <row r="52" spans="1:24" s="13" customFormat="1" ht="285" x14ac:dyDescent="0.25">
      <c r="A52" s="28">
        <v>29</v>
      </c>
      <c r="B52" s="38" t="s">
        <v>36</v>
      </c>
      <c r="C52" s="38" t="s">
        <v>211</v>
      </c>
      <c r="D52" s="30">
        <v>1</v>
      </c>
      <c r="E52" s="28" t="s">
        <v>357</v>
      </c>
      <c r="F52" s="29" t="s">
        <v>357</v>
      </c>
      <c r="G52" s="29" t="s">
        <v>357</v>
      </c>
      <c r="H52" s="29" t="s">
        <v>357</v>
      </c>
      <c r="I52" s="29" t="s">
        <v>357</v>
      </c>
      <c r="J52" s="29" t="s">
        <v>359</v>
      </c>
      <c r="K52" s="38" t="s">
        <v>389</v>
      </c>
      <c r="L52" s="30"/>
      <c r="M52" s="37" t="s">
        <v>357</v>
      </c>
      <c r="N52" s="38" t="s">
        <v>357</v>
      </c>
      <c r="O52" s="38" t="s">
        <v>357</v>
      </c>
      <c r="P52" s="38" t="s">
        <v>357</v>
      </c>
      <c r="Q52" s="38" t="s">
        <v>542</v>
      </c>
      <c r="R52" s="38" t="str">
        <f t="shared" si="8"/>
        <v>INCLUDE</v>
      </c>
      <c r="S52" s="38"/>
      <c r="T52" s="30"/>
      <c r="U52" s="28" t="str">
        <f t="shared" si="1"/>
        <v/>
      </c>
      <c r="V52" s="29" t="b">
        <f t="shared" si="2"/>
        <v>0</v>
      </c>
      <c r="W52" s="29" t="str">
        <f t="shared" si="9"/>
        <v>INCLUDE</v>
      </c>
      <c r="X52" s="30"/>
    </row>
    <row r="53" spans="1:24" s="13" customFormat="1" ht="195" x14ac:dyDescent="0.25">
      <c r="A53" s="28">
        <v>30</v>
      </c>
      <c r="B53" s="38" t="s">
        <v>37</v>
      </c>
      <c r="C53" s="38" t="s">
        <v>212</v>
      </c>
      <c r="D53" s="30">
        <v>1</v>
      </c>
      <c r="E53" s="28" t="s">
        <v>357</v>
      </c>
      <c r="F53" s="29" t="s">
        <v>357</v>
      </c>
      <c r="G53" s="29" t="s">
        <v>357</v>
      </c>
      <c r="H53" s="29" t="s">
        <v>357</v>
      </c>
      <c r="I53" s="29" t="s">
        <v>357</v>
      </c>
      <c r="J53" s="29" t="s">
        <v>359</v>
      </c>
      <c r="K53" s="38" t="s">
        <v>390</v>
      </c>
      <c r="L53" s="30"/>
      <c r="M53" s="37" t="s">
        <v>357</v>
      </c>
      <c r="N53" s="38" t="s">
        <v>357</v>
      </c>
      <c r="O53" s="38" t="s">
        <v>357</v>
      </c>
      <c r="P53" s="38" t="s">
        <v>357</v>
      </c>
      <c r="Q53" s="38" t="s">
        <v>542</v>
      </c>
      <c r="R53" s="38" t="str">
        <f t="shared" si="8"/>
        <v>INCLUDE</v>
      </c>
      <c r="S53" s="38"/>
      <c r="T53" s="30"/>
      <c r="U53" s="28" t="str">
        <f t="shared" si="1"/>
        <v/>
      </c>
      <c r="V53" s="29" t="b">
        <f t="shared" si="2"/>
        <v>0</v>
      </c>
      <c r="W53" s="29" t="str">
        <f t="shared" si="9"/>
        <v>INCLUDE</v>
      </c>
      <c r="X53" s="30"/>
    </row>
    <row r="54" spans="1:24" s="13" customFormat="1" ht="210" x14ac:dyDescent="0.25">
      <c r="A54" s="28">
        <v>31</v>
      </c>
      <c r="B54" s="38" t="s">
        <v>38</v>
      </c>
      <c r="C54" s="38" t="s">
        <v>213</v>
      </c>
      <c r="D54" s="30">
        <v>1</v>
      </c>
      <c r="E54" s="28" t="s">
        <v>357</v>
      </c>
      <c r="F54" s="29" t="s">
        <v>357</v>
      </c>
      <c r="G54" s="29" t="s">
        <v>357</v>
      </c>
      <c r="H54" s="29" t="s">
        <v>357</v>
      </c>
      <c r="I54" s="29" t="s">
        <v>357</v>
      </c>
      <c r="J54" s="29" t="s">
        <v>359</v>
      </c>
      <c r="K54" s="38" t="s">
        <v>537</v>
      </c>
      <c r="L54" s="30">
        <v>1</v>
      </c>
      <c r="M54" s="37" t="s">
        <v>357</v>
      </c>
      <c r="N54" s="38" t="s">
        <v>357</v>
      </c>
      <c r="O54" s="38" t="s">
        <v>357</v>
      </c>
      <c r="P54" s="38" t="s">
        <v>357</v>
      </c>
      <c r="Q54" s="38" t="s">
        <v>542</v>
      </c>
      <c r="R54" s="38" t="str">
        <f t="shared" si="8"/>
        <v>INCLUDE</v>
      </c>
      <c r="S54" s="38" t="s">
        <v>552</v>
      </c>
      <c r="T54" s="30"/>
      <c r="U54" s="28">
        <f t="shared" si="1"/>
        <v>1</v>
      </c>
      <c r="V54" s="29" t="b">
        <f t="shared" si="2"/>
        <v>0</v>
      </c>
      <c r="W54" s="29" t="str">
        <f t="shared" si="9"/>
        <v>INCLUDE</v>
      </c>
      <c r="X54" s="30"/>
    </row>
    <row r="55" spans="1:24" s="13" customFormat="1" ht="135" x14ac:dyDescent="0.25">
      <c r="A55" s="28">
        <v>32</v>
      </c>
      <c r="B55" s="38" t="s">
        <v>39</v>
      </c>
      <c r="C55" s="38" t="s">
        <v>214</v>
      </c>
      <c r="D55" s="30">
        <v>1</v>
      </c>
      <c r="E55" s="28" t="s">
        <v>357</v>
      </c>
      <c r="F55" s="29" t="s">
        <v>357</v>
      </c>
      <c r="G55" s="29" t="s">
        <v>357</v>
      </c>
      <c r="H55" s="29" t="s">
        <v>357</v>
      </c>
      <c r="I55" s="29" t="s">
        <v>357</v>
      </c>
      <c r="J55" s="29" t="s">
        <v>359</v>
      </c>
      <c r="K55" s="38" t="s">
        <v>391</v>
      </c>
      <c r="L55" s="30"/>
      <c r="M55" s="37" t="s">
        <v>357</v>
      </c>
      <c r="N55" s="38" t="s">
        <v>357</v>
      </c>
      <c r="O55" s="38" t="s">
        <v>357</v>
      </c>
      <c r="P55" s="38" t="s">
        <v>357</v>
      </c>
      <c r="Q55" s="38" t="s">
        <v>542</v>
      </c>
      <c r="R55" s="38" t="str">
        <f t="shared" si="8"/>
        <v>INCLUDE</v>
      </c>
      <c r="S55" s="38"/>
      <c r="T55" s="30"/>
      <c r="U55" s="28" t="str">
        <f t="shared" si="1"/>
        <v/>
      </c>
      <c r="V55" s="29" t="b">
        <f t="shared" si="2"/>
        <v>0</v>
      </c>
      <c r="W55" s="29" t="str">
        <f t="shared" si="9"/>
        <v>INCLUDE</v>
      </c>
      <c r="X55" s="30"/>
    </row>
    <row r="56" spans="1:24" s="13" customFormat="1" ht="285" x14ac:dyDescent="0.25">
      <c r="A56" s="28">
        <v>33</v>
      </c>
      <c r="B56" s="38" t="s">
        <v>40</v>
      </c>
      <c r="C56" s="38" t="s">
        <v>215</v>
      </c>
      <c r="D56" s="30">
        <v>1</v>
      </c>
      <c r="E56" s="28" t="s">
        <v>357</v>
      </c>
      <c r="F56" s="29" t="s">
        <v>357</v>
      </c>
      <c r="G56" s="29" t="s">
        <v>357</v>
      </c>
      <c r="H56" s="29" t="s">
        <v>357</v>
      </c>
      <c r="I56" s="29" t="s">
        <v>357</v>
      </c>
      <c r="J56" s="29" t="s">
        <v>359</v>
      </c>
      <c r="K56" s="38" t="s">
        <v>392</v>
      </c>
      <c r="L56" s="30"/>
      <c r="M56" s="37" t="s">
        <v>357</v>
      </c>
      <c r="N56" s="38" t="s">
        <v>357</v>
      </c>
      <c r="O56" s="38" t="s">
        <v>357</v>
      </c>
      <c r="P56" s="38" t="s">
        <v>357</v>
      </c>
      <c r="Q56" s="38" t="s">
        <v>542</v>
      </c>
      <c r="R56" s="38" t="str">
        <f t="shared" si="8"/>
        <v>INCLUDE</v>
      </c>
      <c r="S56" s="38" t="s">
        <v>553</v>
      </c>
      <c r="T56" s="30"/>
      <c r="U56" s="28" t="str">
        <f t="shared" si="1"/>
        <v/>
      </c>
      <c r="V56" s="29" t="b">
        <f t="shared" si="2"/>
        <v>0</v>
      </c>
      <c r="W56" s="29" t="str">
        <f t="shared" si="9"/>
        <v>INCLUDE</v>
      </c>
      <c r="X56" s="30"/>
    </row>
    <row r="57" spans="1:24" s="13" customFormat="1" ht="285" x14ac:dyDescent="0.25">
      <c r="A57" s="28">
        <v>34</v>
      </c>
      <c r="B57" s="38" t="s">
        <v>41</v>
      </c>
      <c r="C57" s="38" t="s">
        <v>216</v>
      </c>
      <c r="D57" s="30">
        <v>1</v>
      </c>
      <c r="E57" s="28" t="s">
        <v>357</v>
      </c>
      <c r="F57" s="29" t="s">
        <v>357</v>
      </c>
      <c r="G57" s="29" t="s">
        <v>357</v>
      </c>
      <c r="H57" s="29" t="s">
        <v>357</v>
      </c>
      <c r="I57" s="29" t="s">
        <v>357</v>
      </c>
      <c r="J57" s="29" t="s">
        <v>359</v>
      </c>
      <c r="K57" s="38" t="s">
        <v>393</v>
      </c>
      <c r="L57" s="30"/>
      <c r="M57" s="37" t="s">
        <v>357</v>
      </c>
      <c r="N57" s="38" t="s">
        <v>357</v>
      </c>
      <c r="O57" s="38" t="s">
        <v>357</v>
      </c>
      <c r="P57" s="38" t="s">
        <v>357</v>
      </c>
      <c r="Q57" s="38" t="s">
        <v>542</v>
      </c>
      <c r="R57" s="38" t="str">
        <f t="shared" si="8"/>
        <v>INCLUDE</v>
      </c>
      <c r="S57" s="38" t="s">
        <v>554</v>
      </c>
      <c r="T57" s="30"/>
      <c r="U57" s="28" t="str">
        <f t="shared" si="1"/>
        <v/>
      </c>
      <c r="V57" s="29" t="b">
        <f t="shared" si="2"/>
        <v>0</v>
      </c>
      <c r="W57" s="29" t="str">
        <f t="shared" si="9"/>
        <v>INCLUDE</v>
      </c>
      <c r="X57" s="30"/>
    </row>
    <row r="58" spans="1:24" s="13" customFormat="1" ht="150" x14ac:dyDescent="0.25">
      <c r="A58" s="28">
        <v>35</v>
      </c>
      <c r="B58" s="38" t="s">
        <v>42</v>
      </c>
      <c r="C58" s="38" t="s">
        <v>217</v>
      </c>
      <c r="D58" s="30">
        <v>1</v>
      </c>
      <c r="E58" s="28" t="s">
        <v>357</v>
      </c>
      <c r="F58" s="29" t="s">
        <v>357</v>
      </c>
      <c r="G58" s="29" t="s">
        <v>357</v>
      </c>
      <c r="H58" s="29" t="s">
        <v>357</v>
      </c>
      <c r="I58" s="29" t="s">
        <v>357</v>
      </c>
      <c r="J58" s="29" t="s">
        <v>359</v>
      </c>
      <c r="K58" s="38" t="s">
        <v>394</v>
      </c>
      <c r="L58" s="30"/>
      <c r="M58" s="37" t="s">
        <v>357</v>
      </c>
      <c r="N58" s="38" t="s">
        <v>357</v>
      </c>
      <c r="O58" s="38" t="s">
        <v>357</v>
      </c>
      <c r="P58" s="38" t="s">
        <v>357</v>
      </c>
      <c r="Q58" s="38" t="s">
        <v>542</v>
      </c>
      <c r="R58" s="38" t="str">
        <f t="shared" si="8"/>
        <v>INCLUDE</v>
      </c>
      <c r="S58" s="38"/>
      <c r="T58" s="30"/>
      <c r="U58" s="28" t="str">
        <f t="shared" si="1"/>
        <v/>
      </c>
      <c r="V58" s="29" t="b">
        <f t="shared" si="2"/>
        <v>0</v>
      </c>
      <c r="W58" s="29" t="str">
        <f t="shared" si="9"/>
        <v>INCLUDE</v>
      </c>
      <c r="X58" s="30"/>
    </row>
    <row r="59" spans="1:24" s="13" customFormat="1" ht="255" x14ac:dyDescent="0.25">
      <c r="A59" s="28">
        <v>36</v>
      </c>
      <c r="B59" s="38" t="s">
        <v>43</v>
      </c>
      <c r="C59" s="38" t="s">
        <v>218</v>
      </c>
      <c r="D59" s="30">
        <v>1</v>
      </c>
      <c r="E59" s="28" t="s">
        <v>357</v>
      </c>
      <c r="F59" s="29" t="s">
        <v>357</v>
      </c>
      <c r="G59" s="29" t="s">
        <v>357</v>
      </c>
      <c r="H59" s="29" t="s">
        <v>357</v>
      </c>
      <c r="I59" s="29" t="s">
        <v>357</v>
      </c>
      <c r="J59" s="29" t="s">
        <v>359</v>
      </c>
      <c r="K59" s="38" t="s">
        <v>395</v>
      </c>
      <c r="L59" s="30"/>
      <c r="M59" s="37" t="s">
        <v>357</v>
      </c>
      <c r="N59" s="38" t="s">
        <v>357</v>
      </c>
      <c r="O59" s="38" t="s">
        <v>357</v>
      </c>
      <c r="P59" s="38" t="s">
        <v>357</v>
      </c>
      <c r="Q59" s="38" t="s">
        <v>542</v>
      </c>
      <c r="R59" s="38" t="str">
        <f t="shared" si="8"/>
        <v>INCLUDE</v>
      </c>
      <c r="S59" s="38" t="s">
        <v>555</v>
      </c>
      <c r="T59" s="30"/>
      <c r="U59" s="28" t="str">
        <f t="shared" si="1"/>
        <v/>
      </c>
      <c r="V59" s="29" t="b">
        <f t="shared" si="2"/>
        <v>0</v>
      </c>
      <c r="W59" s="29" t="str">
        <f t="shared" si="9"/>
        <v>INCLUDE</v>
      </c>
      <c r="X59" s="30"/>
    </row>
    <row r="60" spans="1:24" s="13" customFormat="1" ht="180" x14ac:dyDescent="0.25">
      <c r="A60" s="28">
        <v>37</v>
      </c>
      <c r="B60" s="38" t="s">
        <v>44</v>
      </c>
      <c r="C60" s="38" t="s">
        <v>219</v>
      </c>
      <c r="D60" s="30">
        <v>1</v>
      </c>
      <c r="E60" s="28" t="s">
        <v>357</v>
      </c>
      <c r="F60" s="29" t="s">
        <v>357</v>
      </c>
      <c r="G60" s="29" t="s">
        <v>357</v>
      </c>
      <c r="H60" s="29" t="s">
        <v>357</v>
      </c>
      <c r="I60" s="29" t="s">
        <v>357</v>
      </c>
      <c r="J60" s="29" t="s">
        <v>359</v>
      </c>
      <c r="K60" s="38" t="s">
        <v>396</v>
      </c>
      <c r="L60" s="30"/>
      <c r="M60" s="37" t="s">
        <v>357</v>
      </c>
      <c r="N60" s="38" t="s">
        <v>357</v>
      </c>
      <c r="O60" s="38" t="s">
        <v>357</v>
      </c>
      <c r="P60" s="38" t="s">
        <v>357</v>
      </c>
      <c r="Q60" s="38" t="s">
        <v>542</v>
      </c>
      <c r="R60" s="38" t="str">
        <f t="shared" si="8"/>
        <v>INCLUDE</v>
      </c>
      <c r="S60" s="38" t="s">
        <v>556</v>
      </c>
      <c r="T60" s="30"/>
      <c r="U60" s="28" t="str">
        <f t="shared" si="1"/>
        <v/>
      </c>
      <c r="V60" s="29" t="b">
        <f t="shared" si="2"/>
        <v>0</v>
      </c>
      <c r="W60" s="29" t="str">
        <f t="shared" si="9"/>
        <v>INCLUDE</v>
      </c>
      <c r="X60" s="30"/>
    </row>
    <row r="61" spans="1:24" s="13" customFormat="1" ht="300" x14ac:dyDescent="0.25">
      <c r="A61" s="28">
        <v>38</v>
      </c>
      <c r="B61" s="38" t="s">
        <v>45</v>
      </c>
      <c r="C61" s="38" t="s">
        <v>220</v>
      </c>
      <c r="D61" s="30">
        <v>1</v>
      </c>
      <c r="E61" s="28" t="s">
        <v>357</v>
      </c>
      <c r="F61" s="29" t="s">
        <v>357</v>
      </c>
      <c r="G61" s="29" t="s">
        <v>357</v>
      </c>
      <c r="H61" s="29" t="s">
        <v>357</v>
      </c>
      <c r="I61" s="29" t="s">
        <v>357</v>
      </c>
      <c r="J61" s="29" t="s">
        <v>359</v>
      </c>
      <c r="K61" s="38" t="s">
        <v>397</v>
      </c>
      <c r="L61" s="30"/>
      <c r="M61" s="37" t="s">
        <v>357</v>
      </c>
      <c r="N61" s="38" t="s">
        <v>357</v>
      </c>
      <c r="O61" s="38" t="s">
        <v>357</v>
      </c>
      <c r="P61" s="38" t="s">
        <v>357</v>
      </c>
      <c r="Q61" s="38" t="s">
        <v>542</v>
      </c>
      <c r="R61" s="38" t="str">
        <f t="shared" si="8"/>
        <v>INCLUDE</v>
      </c>
      <c r="S61" s="38"/>
      <c r="T61" s="30"/>
      <c r="U61" s="28" t="str">
        <f t="shared" si="1"/>
        <v/>
      </c>
      <c r="V61" s="29" t="b">
        <f t="shared" si="2"/>
        <v>0</v>
      </c>
      <c r="W61" s="29" t="str">
        <f t="shared" si="9"/>
        <v>INCLUDE</v>
      </c>
      <c r="X61" s="30"/>
    </row>
    <row r="62" spans="1:24" s="13" customFormat="1" ht="195" x14ac:dyDescent="0.25">
      <c r="A62" s="28">
        <v>39</v>
      </c>
      <c r="B62" s="38" t="s">
        <v>46</v>
      </c>
      <c r="C62" s="38" t="s">
        <v>221</v>
      </c>
      <c r="D62" s="30">
        <v>1</v>
      </c>
      <c r="E62" s="28" t="s">
        <v>357</v>
      </c>
      <c r="F62" s="29" t="s">
        <v>357</v>
      </c>
      <c r="G62" s="29" t="s">
        <v>357</v>
      </c>
      <c r="H62" s="29" t="s">
        <v>357</v>
      </c>
      <c r="I62" s="29" t="s">
        <v>357</v>
      </c>
      <c r="J62" s="29" t="s">
        <v>359</v>
      </c>
      <c r="K62" s="38" t="s">
        <v>398</v>
      </c>
      <c r="L62" s="30"/>
      <c r="M62" s="37" t="s">
        <v>357</v>
      </c>
      <c r="N62" s="38" t="s">
        <v>357</v>
      </c>
      <c r="O62" s="38" t="s">
        <v>357</v>
      </c>
      <c r="P62" s="38" t="s">
        <v>357</v>
      </c>
      <c r="Q62" s="38" t="s">
        <v>542</v>
      </c>
      <c r="R62" s="38" t="str">
        <f t="shared" si="8"/>
        <v>INCLUDE</v>
      </c>
      <c r="S62" s="38"/>
      <c r="T62" s="30"/>
      <c r="U62" s="28" t="str">
        <f t="shared" si="1"/>
        <v/>
      </c>
      <c r="V62" s="29" t="b">
        <f t="shared" si="2"/>
        <v>0</v>
      </c>
      <c r="W62" s="29" t="str">
        <f t="shared" si="9"/>
        <v>INCLUDE</v>
      </c>
      <c r="X62" s="30"/>
    </row>
    <row r="63" spans="1:24" s="13" customFormat="1" ht="75" x14ac:dyDescent="0.25">
      <c r="A63" s="28">
        <v>40</v>
      </c>
      <c r="B63" s="38" t="s">
        <v>47</v>
      </c>
      <c r="C63" s="38" t="s">
        <v>222</v>
      </c>
      <c r="D63" s="30">
        <v>1</v>
      </c>
      <c r="E63" s="28" t="s">
        <v>357</v>
      </c>
      <c r="F63" s="29" t="s">
        <v>357</v>
      </c>
      <c r="G63" s="29" t="s">
        <v>357</v>
      </c>
      <c r="H63" s="29" t="s">
        <v>357</v>
      </c>
      <c r="I63" s="29" t="s">
        <v>358</v>
      </c>
      <c r="J63" s="29" t="s">
        <v>360</v>
      </c>
      <c r="K63" s="38" t="s">
        <v>524</v>
      </c>
      <c r="L63" s="30"/>
      <c r="M63" s="37"/>
      <c r="N63" s="38"/>
      <c r="O63" s="38"/>
      <c r="P63" s="38" t="s">
        <v>358</v>
      </c>
      <c r="Q63" s="38"/>
      <c r="R63" s="38" t="str">
        <f t="shared" si="8"/>
        <v>EXCLUDE</v>
      </c>
      <c r="S63" s="38" t="s">
        <v>557</v>
      </c>
      <c r="T63" s="30"/>
      <c r="U63" s="28" t="str">
        <f t="shared" si="1"/>
        <v/>
      </c>
      <c r="V63" s="29" t="b">
        <f t="shared" si="2"/>
        <v>0</v>
      </c>
      <c r="W63" s="29" t="str">
        <f t="shared" si="9"/>
        <v>EXCLUDE</v>
      </c>
      <c r="X63" s="30"/>
    </row>
    <row r="64" spans="1:24" s="13" customFormat="1" ht="225" x14ac:dyDescent="0.25">
      <c r="A64" s="28">
        <v>41</v>
      </c>
      <c r="B64" s="38" t="s">
        <v>48</v>
      </c>
      <c r="C64" s="38" t="s">
        <v>223</v>
      </c>
      <c r="D64" s="30">
        <v>1</v>
      </c>
      <c r="E64" s="28" t="s">
        <v>357</v>
      </c>
      <c r="F64" s="29" t="s">
        <v>357</v>
      </c>
      <c r="G64" s="29" t="s">
        <v>357</v>
      </c>
      <c r="H64" s="29" t="s">
        <v>357</v>
      </c>
      <c r="I64" s="29" t="s">
        <v>357</v>
      </c>
      <c r="J64" s="29" t="s">
        <v>359</v>
      </c>
      <c r="K64" s="38" t="s">
        <v>399</v>
      </c>
      <c r="L64" s="30"/>
      <c r="M64" s="37" t="s">
        <v>357</v>
      </c>
      <c r="N64" s="38" t="s">
        <v>357</v>
      </c>
      <c r="O64" s="38" t="s">
        <v>357</v>
      </c>
      <c r="P64" s="38" t="s">
        <v>357</v>
      </c>
      <c r="Q64" s="38" t="s">
        <v>542</v>
      </c>
      <c r="R64" s="38" t="str">
        <f t="shared" si="8"/>
        <v>INCLUDE</v>
      </c>
      <c r="S64" s="38" t="s">
        <v>558</v>
      </c>
      <c r="T64" s="30"/>
      <c r="U64" s="28" t="str">
        <f t="shared" si="1"/>
        <v/>
      </c>
      <c r="V64" s="29" t="b">
        <f t="shared" si="2"/>
        <v>0</v>
      </c>
      <c r="W64" s="29" t="str">
        <f t="shared" si="9"/>
        <v>INCLUDE</v>
      </c>
      <c r="X64" s="30"/>
    </row>
    <row r="65" spans="1:24" s="13" customFormat="1" ht="180" x14ac:dyDescent="0.25">
      <c r="A65" s="28">
        <v>44</v>
      </c>
      <c r="B65" s="38" t="s">
        <v>51</v>
      </c>
      <c r="C65" s="38" t="s">
        <v>226</v>
      </c>
      <c r="D65" s="30">
        <v>1</v>
      </c>
      <c r="E65" s="28" t="s">
        <v>357</v>
      </c>
      <c r="F65" s="29" t="s">
        <v>357</v>
      </c>
      <c r="G65" s="29" t="s">
        <v>357</v>
      </c>
      <c r="H65" s="29" t="s">
        <v>357</v>
      </c>
      <c r="I65" s="29" t="s">
        <v>357</v>
      </c>
      <c r="J65" s="29" t="s">
        <v>359</v>
      </c>
      <c r="K65" s="38" t="s">
        <v>401</v>
      </c>
      <c r="L65" s="30">
        <v>1</v>
      </c>
      <c r="M65" s="37"/>
      <c r="N65" s="38"/>
      <c r="O65" s="38" t="s">
        <v>560</v>
      </c>
      <c r="P65" s="38" t="s">
        <v>560</v>
      </c>
      <c r="Q65" s="38"/>
      <c r="R65" s="38" t="str">
        <f t="shared" si="8"/>
        <v>EXCLUDE</v>
      </c>
      <c r="S65" s="38" t="s">
        <v>561</v>
      </c>
      <c r="T65" s="30"/>
      <c r="U65" s="28">
        <f t="shared" si="1"/>
        <v>1</v>
      </c>
      <c r="V65" s="29" t="b">
        <f t="shared" si="2"/>
        <v>1</v>
      </c>
      <c r="W65" s="29" t="s">
        <v>359</v>
      </c>
      <c r="X65" s="31" t="s">
        <v>628</v>
      </c>
    </row>
    <row r="66" spans="1:24" s="13" customFormat="1" ht="285" x14ac:dyDescent="0.25">
      <c r="A66" s="28">
        <v>47</v>
      </c>
      <c r="B66" s="38" t="s">
        <v>53</v>
      </c>
      <c r="C66" s="38" t="s">
        <v>228</v>
      </c>
      <c r="D66" s="30">
        <v>1</v>
      </c>
      <c r="E66" s="28" t="s">
        <v>357</v>
      </c>
      <c r="F66" s="29" t="s">
        <v>357</v>
      </c>
      <c r="G66" s="29" t="s">
        <v>357</v>
      </c>
      <c r="H66" s="29" t="s">
        <v>357</v>
      </c>
      <c r="I66" s="29" t="s">
        <v>357</v>
      </c>
      <c r="J66" s="29" t="s">
        <v>359</v>
      </c>
      <c r="K66" s="38" t="s">
        <v>403</v>
      </c>
      <c r="L66" s="30"/>
      <c r="M66" s="37" t="s">
        <v>357</v>
      </c>
      <c r="N66" s="38" t="s">
        <v>357</v>
      </c>
      <c r="O66" s="38" t="s">
        <v>357</v>
      </c>
      <c r="P66" s="38" t="s">
        <v>357</v>
      </c>
      <c r="Q66" s="38" t="s">
        <v>542</v>
      </c>
      <c r="R66" s="38" t="str">
        <f t="shared" si="8"/>
        <v>INCLUDE</v>
      </c>
      <c r="S66" s="38"/>
      <c r="T66" s="30"/>
      <c r="U66" s="28" t="str">
        <f t="shared" si="1"/>
        <v/>
      </c>
      <c r="V66" s="29" t="b">
        <f t="shared" si="2"/>
        <v>0</v>
      </c>
      <c r="W66" s="29" t="str">
        <f t="shared" ref="W66:W69" si="10">J66</f>
        <v>INCLUDE</v>
      </c>
      <c r="X66" s="30"/>
    </row>
    <row r="67" spans="1:24" s="13" customFormat="1" ht="75" x14ac:dyDescent="0.25">
      <c r="A67" s="28">
        <v>48</v>
      </c>
      <c r="B67" s="38" t="s">
        <v>54</v>
      </c>
      <c r="C67" s="38" t="s">
        <v>229</v>
      </c>
      <c r="D67" s="30">
        <v>1</v>
      </c>
      <c r="E67" s="28" t="s">
        <v>357</v>
      </c>
      <c r="F67" s="29" t="s">
        <v>357</v>
      </c>
      <c r="G67" s="29" t="s">
        <v>357</v>
      </c>
      <c r="H67" s="29" t="s">
        <v>357</v>
      </c>
      <c r="I67" s="29" t="s">
        <v>357</v>
      </c>
      <c r="J67" s="29" t="s">
        <v>359</v>
      </c>
      <c r="K67" s="38" t="s">
        <v>404</v>
      </c>
      <c r="L67" s="30"/>
      <c r="M67" s="37" t="s">
        <v>357</v>
      </c>
      <c r="N67" s="38" t="s">
        <v>357</v>
      </c>
      <c r="O67" s="38" t="s">
        <v>357</v>
      </c>
      <c r="P67" s="38" t="s">
        <v>357</v>
      </c>
      <c r="Q67" s="38" t="s">
        <v>542</v>
      </c>
      <c r="R67" s="38" t="str">
        <f t="shared" ref="R67:R98" si="11">IF(COUNTA(M67:Q67)=0,"",IF(COUNTIF(M67:Q67,"Yes")&gt;0,"EXCLUDE","INCLUDE"))</f>
        <v>INCLUDE</v>
      </c>
      <c r="S67" s="38" t="s">
        <v>563</v>
      </c>
      <c r="T67" s="30"/>
      <c r="U67" s="28" t="str">
        <f t="shared" si="1"/>
        <v/>
      </c>
      <c r="V67" s="29" t="b">
        <f t="shared" si="2"/>
        <v>0</v>
      </c>
      <c r="W67" s="29" t="str">
        <f t="shared" si="10"/>
        <v>INCLUDE</v>
      </c>
      <c r="X67" s="30"/>
    </row>
    <row r="68" spans="1:24" s="13" customFormat="1" ht="315" x14ac:dyDescent="0.25">
      <c r="A68" s="28">
        <v>49</v>
      </c>
      <c r="B68" s="38" t="s">
        <v>55</v>
      </c>
      <c r="C68" s="38" t="s">
        <v>230</v>
      </c>
      <c r="D68" s="30">
        <v>1</v>
      </c>
      <c r="E68" s="28" t="s">
        <v>357</v>
      </c>
      <c r="F68" s="29" t="s">
        <v>357</v>
      </c>
      <c r="G68" s="29" t="s">
        <v>357</v>
      </c>
      <c r="H68" s="29" t="s">
        <v>357</v>
      </c>
      <c r="I68" s="29" t="s">
        <v>357</v>
      </c>
      <c r="J68" s="29" t="s">
        <v>359</v>
      </c>
      <c r="K68" s="38" t="s">
        <v>405</v>
      </c>
      <c r="L68" s="30"/>
      <c r="M68" s="37" t="s">
        <v>357</v>
      </c>
      <c r="N68" s="38" t="s">
        <v>357</v>
      </c>
      <c r="O68" s="38" t="s">
        <v>357</v>
      </c>
      <c r="P68" s="38" t="s">
        <v>357</v>
      </c>
      <c r="Q68" s="38" t="s">
        <v>542</v>
      </c>
      <c r="R68" s="38" t="str">
        <f t="shared" si="11"/>
        <v>INCLUDE</v>
      </c>
      <c r="S68" s="38"/>
      <c r="T68" s="30"/>
      <c r="U68" s="28" t="str">
        <f t="shared" ref="U68:U131" si="12">IF(OR(T68=1,L68=1),1,"")</f>
        <v/>
      </c>
      <c r="V68" s="29" t="b">
        <f t="shared" ref="V68:V131" si="13">R68&lt;&gt;J68</f>
        <v>0</v>
      </c>
      <c r="W68" s="29" t="str">
        <f t="shared" si="10"/>
        <v>INCLUDE</v>
      </c>
      <c r="X68" s="30"/>
    </row>
    <row r="69" spans="1:24" s="13" customFormat="1" ht="409.5" x14ac:dyDescent="0.25">
      <c r="A69" s="28">
        <v>50</v>
      </c>
      <c r="B69" s="38" t="s">
        <v>56</v>
      </c>
      <c r="C69" s="38" t="s">
        <v>231</v>
      </c>
      <c r="D69" s="30">
        <v>1</v>
      </c>
      <c r="E69" s="28" t="s">
        <v>357</v>
      </c>
      <c r="F69" s="29" t="s">
        <v>357</v>
      </c>
      <c r="G69" s="29" t="s">
        <v>357</v>
      </c>
      <c r="H69" s="29" t="s">
        <v>357</v>
      </c>
      <c r="I69" s="29" t="s">
        <v>357</v>
      </c>
      <c r="J69" s="29" t="s">
        <v>359</v>
      </c>
      <c r="K69" s="38" t="s">
        <v>406</v>
      </c>
      <c r="L69" s="30"/>
      <c r="M69" s="37" t="s">
        <v>357</v>
      </c>
      <c r="N69" s="38" t="s">
        <v>357</v>
      </c>
      <c r="O69" s="38" t="s">
        <v>357</v>
      </c>
      <c r="P69" s="38" t="s">
        <v>357</v>
      </c>
      <c r="Q69" s="38" t="s">
        <v>542</v>
      </c>
      <c r="R69" s="38" t="str">
        <f t="shared" si="11"/>
        <v>INCLUDE</v>
      </c>
      <c r="S69" s="38"/>
      <c r="T69" s="30"/>
      <c r="U69" s="28" t="str">
        <f t="shared" si="12"/>
        <v/>
      </c>
      <c r="V69" s="29" t="b">
        <f t="shared" si="13"/>
        <v>0</v>
      </c>
      <c r="W69" s="29" t="str">
        <f t="shared" si="10"/>
        <v>INCLUDE</v>
      </c>
      <c r="X69" s="30"/>
    </row>
    <row r="70" spans="1:24" s="13" customFormat="1" ht="150" x14ac:dyDescent="0.25">
      <c r="A70" s="28">
        <v>52</v>
      </c>
      <c r="B70" s="38" t="s">
        <v>58</v>
      </c>
      <c r="C70" s="38" t="s">
        <v>233</v>
      </c>
      <c r="D70" s="30">
        <v>1</v>
      </c>
      <c r="E70" s="28" t="s">
        <v>357</v>
      </c>
      <c r="F70" s="29" t="s">
        <v>357</v>
      </c>
      <c r="G70" s="29" t="s">
        <v>357</v>
      </c>
      <c r="H70" s="29" t="s">
        <v>357</v>
      </c>
      <c r="I70" s="29" t="s">
        <v>357</v>
      </c>
      <c r="J70" s="29" t="s">
        <v>359</v>
      </c>
      <c r="K70" s="38" t="s">
        <v>408</v>
      </c>
      <c r="L70" s="30"/>
      <c r="M70" s="37"/>
      <c r="N70" s="38"/>
      <c r="O70" s="38" t="s">
        <v>560</v>
      </c>
      <c r="P70" s="38"/>
      <c r="Q70" s="38"/>
      <c r="R70" s="38" t="str">
        <f t="shared" si="11"/>
        <v>EXCLUDE</v>
      </c>
      <c r="S70" s="38" t="s">
        <v>566</v>
      </c>
      <c r="T70" s="30"/>
      <c r="U70" s="28" t="str">
        <f t="shared" si="12"/>
        <v/>
      </c>
      <c r="V70" s="29" t="b">
        <f t="shared" si="13"/>
        <v>1</v>
      </c>
      <c r="W70" s="29" t="s">
        <v>359</v>
      </c>
      <c r="X70" s="31" t="s">
        <v>628</v>
      </c>
    </row>
    <row r="71" spans="1:24" s="13" customFormat="1" ht="225" x14ac:dyDescent="0.25">
      <c r="A71" s="28">
        <v>53</v>
      </c>
      <c r="B71" s="38" t="s">
        <v>59</v>
      </c>
      <c r="C71" s="38" t="s">
        <v>234</v>
      </c>
      <c r="D71" s="30">
        <v>1</v>
      </c>
      <c r="E71" s="28" t="s">
        <v>357</v>
      </c>
      <c r="F71" s="29" t="s">
        <v>357</v>
      </c>
      <c r="G71" s="29" t="s">
        <v>357</v>
      </c>
      <c r="H71" s="29" t="s">
        <v>357</v>
      </c>
      <c r="I71" s="29" t="s">
        <v>357</v>
      </c>
      <c r="J71" s="29" t="s">
        <v>359</v>
      </c>
      <c r="K71" s="38" t="s">
        <v>409</v>
      </c>
      <c r="L71" s="30"/>
      <c r="M71" s="37" t="s">
        <v>357</v>
      </c>
      <c r="N71" s="38" t="s">
        <v>357</v>
      </c>
      <c r="O71" s="38" t="s">
        <v>357</v>
      </c>
      <c r="P71" s="38" t="s">
        <v>357</v>
      </c>
      <c r="Q71" s="38" t="s">
        <v>542</v>
      </c>
      <c r="R71" s="38" t="str">
        <f t="shared" si="11"/>
        <v>INCLUDE</v>
      </c>
      <c r="S71" s="38"/>
      <c r="T71" s="30"/>
      <c r="U71" s="28" t="str">
        <f t="shared" si="12"/>
        <v/>
      </c>
      <c r="V71" s="29" t="b">
        <f t="shared" si="13"/>
        <v>0</v>
      </c>
      <c r="W71" s="29" t="str">
        <f t="shared" ref="W71:W83" si="14">J71</f>
        <v>INCLUDE</v>
      </c>
      <c r="X71" s="30"/>
    </row>
    <row r="72" spans="1:24" s="13" customFormat="1" ht="315" x14ac:dyDescent="0.25">
      <c r="A72" s="28">
        <v>54</v>
      </c>
      <c r="B72" s="38" t="s">
        <v>60</v>
      </c>
      <c r="C72" s="38" t="s">
        <v>235</v>
      </c>
      <c r="D72" s="30">
        <v>1</v>
      </c>
      <c r="E72" s="28" t="s">
        <v>357</v>
      </c>
      <c r="F72" s="29" t="s">
        <v>357</v>
      </c>
      <c r="G72" s="29" t="s">
        <v>357</v>
      </c>
      <c r="H72" s="29" t="s">
        <v>357</v>
      </c>
      <c r="I72" s="29" t="s">
        <v>357</v>
      </c>
      <c r="J72" s="29" t="s">
        <v>359</v>
      </c>
      <c r="K72" s="38" t="s">
        <v>410</v>
      </c>
      <c r="L72" s="30"/>
      <c r="M72" s="37" t="s">
        <v>357</v>
      </c>
      <c r="N72" s="38" t="s">
        <v>357</v>
      </c>
      <c r="O72" s="38" t="s">
        <v>357</v>
      </c>
      <c r="P72" s="38" t="s">
        <v>357</v>
      </c>
      <c r="Q72" s="38" t="s">
        <v>542</v>
      </c>
      <c r="R72" s="38" t="str">
        <f t="shared" si="11"/>
        <v>INCLUDE</v>
      </c>
      <c r="S72" s="38"/>
      <c r="T72" s="30"/>
      <c r="U72" s="28" t="str">
        <f t="shared" si="12"/>
        <v/>
      </c>
      <c r="V72" s="29" t="b">
        <f t="shared" si="13"/>
        <v>0</v>
      </c>
      <c r="W72" s="29" t="str">
        <f t="shared" si="14"/>
        <v>INCLUDE</v>
      </c>
      <c r="X72" s="30"/>
    </row>
    <row r="73" spans="1:24" s="13" customFormat="1" ht="135" x14ac:dyDescent="0.25">
      <c r="A73" s="28">
        <v>55</v>
      </c>
      <c r="B73" s="38" t="s">
        <v>61</v>
      </c>
      <c r="C73" s="38" t="s">
        <v>236</v>
      </c>
      <c r="D73" s="30">
        <v>1</v>
      </c>
      <c r="E73" s="28" t="s">
        <v>357</v>
      </c>
      <c r="F73" s="29" t="s">
        <v>357</v>
      </c>
      <c r="G73" s="29" t="s">
        <v>357</v>
      </c>
      <c r="H73" s="29" t="s">
        <v>357</v>
      </c>
      <c r="I73" s="29" t="s">
        <v>357</v>
      </c>
      <c r="J73" s="29" t="s">
        <v>359</v>
      </c>
      <c r="K73" s="38" t="s">
        <v>411</v>
      </c>
      <c r="L73" s="30"/>
      <c r="M73" s="37" t="s">
        <v>357</v>
      </c>
      <c r="N73" s="38" t="s">
        <v>357</v>
      </c>
      <c r="O73" s="38" t="s">
        <v>357</v>
      </c>
      <c r="P73" s="38" t="s">
        <v>357</v>
      </c>
      <c r="Q73" s="38" t="s">
        <v>542</v>
      </c>
      <c r="R73" s="38" t="str">
        <f t="shared" si="11"/>
        <v>INCLUDE</v>
      </c>
      <c r="S73" s="38" t="s">
        <v>567</v>
      </c>
      <c r="T73" s="30"/>
      <c r="U73" s="28" t="str">
        <f t="shared" si="12"/>
        <v/>
      </c>
      <c r="V73" s="29" t="b">
        <f t="shared" si="13"/>
        <v>0</v>
      </c>
      <c r="W73" s="29" t="str">
        <f t="shared" si="14"/>
        <v>INCLUDE</v>
      </c>
      <c r="X73" s="30"/>
    </row>
    <row r="74" spans="1:24" s="13" customFormat="1" ht="90" x14ac:dyDescent="0.25">
      <c r="A74" s="28">
        <v>56</v>
      </c>
      <c r="B74" s="38" t="s">
        <v>62</v>
      </c>
      <c r="C74" s="38" t="s">
        <v>237</v>
      </c>
      <c r="D74" s="30">
        <v>1</v>
      </c>
      <c r="E74" s="28" t="s">
        <v>357</v>
      </c>
      <c r="F74" s="29" t="s">
        <v>357</v>
      </c>
      <c r="G74" s="29" t="s">
        <v>357</v>
      </c>
      <c r="H74" s="29" t="s">
        <v>357</v>
      </c>
      <c r="I74" s="29" t="s">
        <v>357</v>
      </c>
      <c r="J74" s="29" t="s">
        <v>359</v>
      </c>
      <c r="K74" s="38" t="s">
        <v>412</v>
      </c>
      <c r="L74" s="30"/>
      <c r="M74" s="37" t="s">
        <v>357</v>
      </c>
      <c r="N74" s="38" t="s">
        <v>357</v>
      </c>
      <c r="O74" s="38" t="s">
        <v>357</v>
      </c>
      <c r="P74" s="38" t="s">
        <v>357</v>
      </c>
      <c r="Q74" s="38" t="s">
        <v>542</v>
      </c>
      <c r="R74" s="38" t="str">
        <f t="shared" si="11"/>
        <v>INCLUDE</v>
      </c>
      <c r="S74" s="38" t="s">
        <v>568</v>
      </c>
      <c r="T74" s="30"/>
      <c r="U74" s="28" t="str">
        <f t="shared" si="12"/>
        <v/>
      </c>
      <c r="V74" s="29" t="b">
        <f t="shared" si="13"/>
        <v>0</v>
      </c>
      <c r="W74" s="29" t="str">
        <f t="shared" si="14"/>
        <v>INCLUDE</v>
      </c>
      <c r="X74" s="30"/>
    </row>
    <row r="75" spans="1:24" s="13" customFormat="1" ht="300" x14ac:dyDescent="0.25">
      <c r="A75" s="28">
        <v>57</v>
      </c>
      <c r="B75" s="38" t="s">
        <v>63</v>
      </c>
      <c r="C75" s="38" t="s">
        <v>238</v>
      </c>
      <c r="D75" s="30">
        <v>1</v>
      </c>
      <c r="E75" s="28" t="s">
        <v>357</v>
      </c>
      <c r="F75" s="29" t="s">
        <v>357</v>
      </c>
      <c r="G75" s="29" t="s">
        <v>357</v>
      </c>
      <c r="H75" s="29" t="s">
        <v>357</v>
      </c>
      <c r="I75" s="29" t="s">
        <v>357</v>
      </c>
      <c r="J75" s="29" t="s">
        <v>359</v>
      </c>
      <c r="K75" s="38" t="s">
        <v>413</v>
      </c>
      <c r="L75" s="30"/>
      <c r="M75" s="37" t="s">
        <v>357</v>
      </c>
      <c r="N75" s="38" t="s">
        <v>357</v>
      </c>
      <c r="O75" s="38" t="s">
        <v>357</v>
      </c>
      <c r="P75" s="38" t="s">
        <v>357</v>
      </c>
      <c r="Q75" s="38" t="s">
        <v>542</v>
      </c>
      <c r="R75" s="38" t="str">
        <f t="shared" si="11"/>
        <v>INCLUDE</v>
      </c>
      <c r="S75" s="38"/>
      <c r="T75" s="30"/>
      <c r="U75" s="28" t="str">
        <f t="shared" si="12"/>
        <v/>
      </c>
      <c r="V75" s="29" t="b">
        <f t="shared" si="13"/>
        <v>0</v>
      </c>
      <c r="W75" s="29" t="str">
        <f t="shared" si="14"/>
        <v>INCLUDE</v>
      </c>
      <c r="X75" s="30"/>
    </row>
    <row r="76" spans="1:24" s="13" customFormat="1" ht="210" x14ac:dyDescent="0.25">
      <c r="A76" s="28">
        <v>59</v>
      </c>
      <c r="B76" s="38" t="s">
        <v>64</v>
      </c>
      <c r="C76" s="38" t="s">
        <v>240</v>
      </c>
      <c r="D76" s="30">
        <v>1</v>
      </c>
      <c r="E76" s="28" t="s">
        <v>357</v>
      </c>
      <c r="F76" s="29" t="s">
        <v>357</v>
      </c>
      <c r="G76" s="29" t="s">
        <v>357</v>
      </c>
      <c r="H76" s="29" t="s">
        <v>357</v>
      </c>
      <c r="I76" s="29" t="s">
        <v>357</v>
      </c>
      <c r="J76" s="29" t="s">
        <v>359</v>
      </c>
      <c r="K76" s="38" t="s">
        <v>414</v>
      </c>
      <c r="L76" s="30"/>
      <c r="M76" s="37" t="s">
        <v>357</v>
      </c>
      <c r="N76" s="38" t="s">
        <v>357</v>
      </c>
      <c r="O76" s="38" t="s">
        <v>357</v>
      </c>
      <c r="P76" s="38" t="s">
        <v>357</v>
      </c>
      <c r="Q76" s="38" t="s">
        <v>542</v>
      </c>
      <c r="R76" s="38" t="str">
        <f t="shared" si="11"/>
        <v>INCLUDE</v>
      </c>
      <c r="S76" s="38" t="s">
        <v>570</v>
      </c>
      <c r="T76" s="30"/>
      <c r="U76" s="28" t="str">
        <f t="shared" si="12"/>
        <v/>
      </c>
      <c r="V76" s="29" t="b">
        <f t="shared" si="13"/>
        <v>0</v>
      </c>
      <c r="W76" s="29" t="str">
        <f t="shared" si="14"/>
        <v>INCLUDE</v>
      </c>
      <c r="X76" s="30"/>
    </row>
    <row r="77" spans="1:24" s="13" customFormat="1" ht="195" x14ac:dyDescent="0.25">
      <c r="A77" s="28">
        <v>60</v>
      </c>
      <c r="B77" s="38" t="s">
        <v>65</v>
      </c>
      <c r="C77" s="38" t="s">
        <v>241</v>
      </c>
      <c r="D77" s="30">
        <v>1</v>
      </c>
      <c r="E77" s="28" t="s">
        <v>357</v>
      </c>
      <c r="F77" s="29" t="s">
        <v>357</v>
      </c>
      <c r="G77" s="29" t="s">
        <v>357</v>
      </c>
      <c r="H77" s="29" t="s">
        <v>357</v>
      </c>
      <c r="I77" s="29" t="s">
        <v>357</v>
      </c>
      <c r="J77" s="29" t="s">
        <v>359</v>
      </c>
      <c r="K77" s="38" t="s">
        <v>538</v>
      </c>
      <c r="L77" s="30"/>
      <c r="M77" s="37" t="s">
        <v>357</v>
      </c>
      <c r="N77" s="38" t="s">
        <v>357</v>
      </c>
      <c r="O77" s="38" t="s">
        <v>357</v>
      </c>
      <c r="P77" s="38" t="s">
        <v>357</v>
      </c>
      <c r="Q77" s="38" t="s">
        <v>542</v>
      </c>
      <c r="R77" s="38" t="str">
        <f t="shared" si="11"/>
        <v>INCLUDE</v>
      </c>
      <c r="S77" s="38" t="s">
        <v>571</v>
      </c>
      <c r="T77" s="30"/>
      <c r="U77" s="28" t="str">
        <f t="shared" si="12"/>
        <v/>
      </c>
      <c r="V77" s="29" t="b">
        <f t="shared" si="13"/>
        <v>0</v>
      </c>
      <c r="W77" s="29" t="str">
        <f t="shared" si="14"/>
        <v>INCLUDE</v>
      </c>
      <c r="X77" s="30"/>
    </row>
    <row r="78" spans="1:24" s="13" customFormat="1" ht="225" x14ac:dyDescent="0.25">
      <c r="A78" s="28">
        <v>61</v>
      </c>
      <c r="B78" s="38" t="s">
        <v>66</v>
      </c>
      <c r="C78" s="38" t="s">
        <v>242</v>
      </c>
      <c r="D78" s="30">
        <v>1</v>
      </c>
      <c r="E78" s="28" t="s">
        <v>357</v>
      </c>
      <c r="F78" s="29" t="s">
        <v>357</v>
      </c>
      <c r="G78" s="29" t="s">
        <v>357</v>
      </c>
      <c r="H78" s="29" t="s">
        <v>357</v>
      </c>
      <c r="I78" s="29" t="s">
        <v>357</v>
      </c>
      <c r="J78" s="29" t="s">
        <v>359</v>
      </c>
      <c r="K78" s="38" t="s">
        <v>415</v>
      </c>
      <c r="L78" s="30"/>
      <c r="M78" s="37" t="s">
        <v>357</v>
      </c>
      <c r="N78" s="38" t="s">
        <v>357</v>
      </c>
      <c r="O78" s="38" t="s">
        <v>357</v>
      </c>
      <c r="P78" s="38" t="s">
        <v>357</v>
      </c>
      <c r="Q78" s="38" t="s">
        <v>542</v>
      </c>
      <c r="R78" s="38" t="str">
        <f t="shared" si="11"/>
        <v>INCLUDE</v>
      </c>
      <c r="S78" s="38"/>
      <c r="T78" s="30"/>
      <c r="U78" s="28" t="str">
        <f t="shared" si="12"/>
        <v/>
      </c>
      <c r="V78" s="29" t="b">
        <f t="shared" si="13"/>
        <v>0</v>
      </c>
      <c r="W78" s="29" t="str">
        <f t="shared" si="14"/>
        <v>INCLUDE</v>
      </c>
      <c r="X78" s="30"/>
    </row>
    <row r="79" spans="1:24" s="13" customFormat="1" ht="60" x14ac:dyDescent="0.25">
      <c r="A79" s="28">
        <v>62</v>
      </c>
      <c r="B79" s="38" t="s">
        <v>67</v>
      </c>
      <c r="C79" s="38" t="s">
        <v>243</v>
      </c>
      <c r="D79" s="30">
        <v>1</v>
      </c>
      <c r="E79" s="28" t="s">
        <v>357</v>
      </c>
      <c r="F79" s="29" t="s">
        <v>357</v>
      </c>
      <c r="G79" s="29" t="s">
        <v>357</v>
      </c>
      <c r="H79" s="29" t="s">
        <v>357</v>
      </c>
      <c r="I79" s="29" t="s">
        <v>357</v>
      </c>
      <c r="J79" s="29" t="s">
        <v>359</v>
      </c>
      <c r="K79" s="38" t="s">
        <v>416</v>
      </c>
      <c r="L79" s="30"/>
      <c r="M79" s="37" t="s">
        <v>357</v>
      </c>
      <c r="N79" s="38" t="s">
        <v>357</v>
      </c>
      <c r="O79" s="38" t="s">
        <v>357</v>
      </c>
      <c r="P79" s="38" t="s">
        <v>357</v>
      </c>
      <c r="Q79" s="38" t="s">
        <v>542</v>
      </c>
      <c r="R79" s="38" t="str">
        <f t="shared" si="11"/>
        <v>INCLUDE</v>
      </c>
      <c r="S79" s="38" t="s">
        <v>572</v>
      </c>
      <c r="T79" s="30"/>
      <c r="U79" s="28" t="str">
        <f t="shared" si="12"/>
        <v/>
      </c>
      <c r="V79" s="29" t="b">
        <f t="shared" si="13"/>
        <v>0</v>
      </c>
      <c r="W79" s="29" t="str">
        <f t="shared" si="14"/>
        <v>INCLUDE</v>
      </c>
      <c r="X79" s="30"/>
    </row>
    <row r="80" spans="1:24" s="13" customFormat="1" ht="165" x14ac:dyDescent="0.25">
      <c r="A80" s="28">
        <v>63</v>
      </c>
      <c r="B80" s="38" t="s">
        <v>68</v>
      </c>
      <c r="C80" s="38" t="s">
        <v>244</v>
      </c>
      <c r="D80" s="30">
        <v>1</v>
      </c>
      <c r="E80" s="28" t="s">
        <v>357</v>
      </c>
      <c r="F80" s="29" t="s">
        <v>357</v>
      </c>
      <c r="G80" s="29" t="s">
        <v>357</v>
      </c>
      <c r="H80" s="29" t="s">
        <v>357</v>
      </c>
      <c r="I80" s="29" t="s">
        <v>357</v>
      </c>
      <c r="J80" s="29" t="s">
        <v>359</v>
      </c>
      <c r="K80" s="38" t="s">
        <v>417</v>
      </c>
      <c r="L80" s="30"/>
      <c r="M80" s="37" t="s">
        <v>357</v>
      </c>
      <c r="N80" s="38" t="s">
        <v>357</v>
      </c>
      <c r="O80" s="38" t="s">
        <v>357</v>
      </c>
      <c r="P80" s="38" t="s">
        <v>357</v>
      </c>
      <c r="Q80" s="38" t="s">
        <v>542</v>
      </c>
      <c r="R80" s="38" t="str">
        <f t="shared" si="11"/>
        <v>INCLUDE</v>
      </c>
      <c r="S80" s="38" t="s">
        <v>573</v>
      </c>
      <c r="T80" s="30"/>
      <c r="U80" s="28" t="str">
        <f t="shared" si="12"/>
        <v/>
      </c>
      <c r="V80" s="29" t="b">
        <f t="shared" si="13"/>
        <v>0</v>
      </c>
      <c r="W80" s="29" t="str">
        <f t="shared" si="14"/>
        <v>INCLUDE</v>
      </c>
      <c r="X80" s="30"/>
    </row>
    <row r="81" spans="1:24" s="13" customFormat="1" ht="315" x14ac:dyDescent="0.25">
      <c r="A81" s="28">
        <v>64</v>
      </c>
      <c r="B81" s="38" t="s">
        <v>69</v>
      </c>
      <c r="C81" s="38" t="s">
        <v>245</v>
      </c>
      <c r="D81" s="30">
        <v>1</v>
      </c>
      <c r="E81" s="28" t="s">
        <v>357</v>
      </c>
      <c r="F81" s="29" t="s">
        <v>357</v>
      </c>
      <c r="G81" s="29" t="s">
        <v>357</v>
      </c>
      <c r="H81" s="29" t="s">
        <v>357</v>
      </c>
      <c r="I81" s="29" t="s">
        <v>357</v>
      </c>
      <c r="J81" s="29" t="s">
        <v>359</v>
      </c>
      <c r="K81" s="38" t="s">
        <v>418</v>
      </c>
      <c r="L81" s="30"/>
      <c r="M81" s="37" t="s">
        <v>357</v>
      </c>
      <c r="N81" s="38" t="s">
        <v>357</v>
      </c>
      <c r="O81" s="38" t="s">
        <v>357</v>
      </c>
      <c r="P81" s="38" t="s">
        <v>357</v>
      </c>
      <c r="Q81" s="38" t="s">
        <v>542</v>
      </c>
      <c r="R81" s="38" t="str">
        <f t="shared" si="11"/>
        <v>INCLUDE</v>
      </c>
      <c r="S81" s="38" t="s">
        <v>574</v>
      </c>
      <c r="T81" s="30"/>
      <c r="U81" s="28" t="str">
        <f t="shared" si="12"/>
        <v/>
      </c>
      <c r="V81" s="29" t="b">
        <f t="shared" si="13"/>
        <v>0</v>
      </c>
      <c r="W81" s="29" t="str">
        <f t="shared" si="14"/>
        <v>INCLUDE</v>
      </c>
      <c r="X81" s="30"/>
    </row>
    <row r="82" spans="1:24" s="13" customFormat="1" ht="165" x14ac:dyDescent="0.25">
      <c r="A82" s="28">
        <v>65</v>
      </c>
      <c r="B82" s="38" t="s">
        <v>70</v>
      </c>
      <c r="C82" s="38" t="s">
        <v>246</v>
      </c>
      <c r="D82" s="30">
        <v>1</v>
      </c>
      <c r="E82" s="28" t="s">
        <v>357</v>
      </c>
      <c r="F82" s="29" t="s">
        <v>357</v>
      </c>
      <c r="G82" s="29" t="s">
        <v>357</v>
      </c>
      <c r="H82" s="29" t="s">
        <v>357</v>
      </c>
      <c r="I82" s="29" t="s">
        <v>357</v>
      </c>
      <c r="J82" s="29" t="s">
        <v>359</v>
      </c>
      <c r="K82" s="38" t="s">
        <v>419</v>
      </c>
      <c r="L82" s="30"/>
      <c r="M82" s="37" t="s">
        <v>357</v>
      </c>
      <c r="N82" s="38" t="s">
        <v>357</v>
      </c>
      <c r="O82" s="38" t="s">
        <v>357</v>
      </c>
      <c r="P82" s="38" t="s">
        <v>357</v>
      </c>
      <c r="Q82" s="38" t="s">
        <v>542</v>
      </c>
      <c r="R82" s="38" t="str">
        <f t="shared" si="11"/>
        <v>INCLUDE</v>
      </c>
      <c r="S82" s="38" t="s">
        <v>575</v>
      </c>
      <c r="T82" s="30"/>
      <c r="U82" s="28" t="str">
        <f t="shared" si="12"/>
        <v/>
      </c>
      <c r="V82" s="29" t="b">
        <f t="shared" si="13"/>
        <v>0</v>
      </c>
      <c r="W82" s="29" t="str">
        <f t="shared" si="14"/>
        <v>INCLUDE</v>
      </c>
      <c r="X82" s="30"/>
    </row>
    <row r="83" spans="1:24" s="13" customFormat="1" ht="270" x14ac:dyDescent="0.25">
      <c r="A83" s="28">
        <v>66</v>
      </c>
      <c r="B83" s="38" t="s">
        <v>71</v>
      </c>
      <c r="C83" s="38" t="s">
        <v>247</v>
      </c>
      <c r="D83" s="30">
        <v>1</v>
      </c>
      <c r="E83" s="28" t="s">
        <v>357</v>
      </c>
      <c r="F83" s="29" t="s">
        <v>357</v>
      </c>
      <c r="G83" s="29" t="s">
        <v>357</v>
      </c>
      <c r="H83" s="29" t="s">
        <v>357</v>
      </c>
      <c r="I83" s="29" t="s">
        <v>357</v>
      </c>
      <c r="J83" s="29" t="s">
        <v>359</v>
      </c>
      <c r="K83" s="38" t="s">
        <v>420</v>
      </c>
      <c r="L83" s="30"/>
      <c r="M83" s="37" t="s">
        <v>357</v>
      </c>
      <c r="N83" s="38" t="s">
        <v>357</v>
      </c>
      <c r="O83" s="38" t="s">
        <v>357</v>
      </c>
      <c r="P83" s="38" t="s">
        <v>357</v>
      </c>
      <c r="Q83" s="38" t="s">
        <v>542</v>
      </c>
      <c r="R83" s="38" t="str">
        <f t="shared" si="11"/>
        <v>INCLUDE</v>
      </c>
      <c r="S83" s="38" t="s">
        <v>576</v>
      </c>
      <c r="T83" s="30"/>
      <c r="U83" s="28" t="str">
        <f t="shared" si="12"/>
        <v/>
      </c>
      <c r="V83" s="29" t="b">
        <f t="shared" si="13"/>
        <v>0</v>
      </c>
      <c r="W83" s="29" t="str">
        <f t="shared" si="14"/>
        <v>INCLUDE</v>
      </c>
      <c r="X83" s="30"/>
    </row>
    <row r="84" spans="1:24" s="13" customFormat="1" ht="240" x14ac:dyDescent="0.25">
      <c r="A84" s="28">
        <v>68</v>
      </c>
      <c r="B84" s="38" t="s">
        <v>73</v>
      </c>
      <c r="C84" s="38" t="s">
        <v>249</v>
      </c>
      <c r="D84" s="30">
        <v>1</v>
      </c>
      <c r="E84" s="28" t="s">
        <v>357</v>
      </c>
      <c r="F84" s="29" t="s">
        <v>357</v>
      </c>
      <c r="G84" s="29" t="s">
        <v>357</v>
      </c>
      <c r="H84" s="29" t="s">
        <v>357</v>
      </c>
      <c r="I84" s="29" t="s">
        <v>357</v>
      </c>
      <c r="J84" s="29" t="s">
        <v>359</v>
      </c>
      <c r="K84" s="38" t="s">
        <v>421</v>
      </c>
      <c r="L84" s="30"/>
      <c r="M84" s="37"/>
      <c r="N84" s="38"/>
      <c r="O84" s="38" t="s">
        <v>560</v>
      </c>
      <c r="P84" s="38"/>
      <c r="Q84" s="38"/>
      <c r="R84" s="38" t="str">
        <f t="shared" si="11"/>
        <v>EXCLUDE</v>
      </c>
      <c r="S84" s="38" t="s">
        <v>578</v>
      </c>
      <c r="T84" s="30"/>
      <c r="U84" s="28" t="str">
        <f t="shared" si="12"/>
        <v/>
      </c>
      <c r="V84" s="29" t="b">
        <f t="shared" si="13"/>
        <v>1</v>
      </c>
      <c r="W84" s="29" t="s">
        <v>359</v>
      </c>
      <c r="X84" s="31" t="s">
        <v>628</v>
      </c>
    </row>
    <row r="85" spans="1:24" s="13" customFormat="1" ht="360" x14ac:dyDescent="0.25">
      <c r="A85" s="28">
        <v>69</v>
      </c>
      <c r="B85" s="38" t="s">
        <v>74</v>
      </c>
      <c r="C85" s="38" t="s">
        <v>250</v>
      </c>
      <c r="D85" s="30">
        <v>1</v>
      </c>
      <c r="E85" s="28" t="s">
        <v>357</v>
      </c>
      <c r="F85" s="29" t="s">
        <v>357</v>
      </c>
      <c r="G85" s="29" t="s">
        <v>357</v>
      </c>
      <c r="H85" s="29" t="s">
        <v>357</v>
      </c>
      <c r="I85" s="29" t="s">
        <v>357</v>
      </c>
      <c r="J85" s="29" t="s">
        <v>359</v>
      </c>
      <c r="K85" s="38" t="s">
        <v>422</v>
      </c>
      <c r="L85" s="30"/>
      <c r="M85" s="37" t="s">
        <v>357</v>
      </c>
      <c r="N85" s="38" t="s">
        <v>357</v>
      </c>
      <c r="O85" s="38" t="s">
        <v>357</v>
      </c>
      <c r="P85" s="38" t="s">
        <v>357</v>
      </c>
      <c r="Q85" s="38" t="s">
        <v>542</v>
      </c>
      <c r="R85" s="38" t="str">
        <f t="shared" si="11"/>
        <v>INCLUDE</v>
      </c>
      <c r="S85" s="38"/>
      <c r="T85" s="30"/>
      <c r="U85" s="28" t="str">
        <f t="shared" si="12"/>
        <v/>
      </c>
      <c r="V85" s="29" t="b">
        <f t="shared" si="13"/>
        <v>0</v>
      </c>
      <c r="W85" s="29" t="str">
        <f t="shared" ref="W85:W95" si="15">J85</f>
        <v>INCLUDE</v>
      </c>
      <c r="X85" s="30"/>
    </row>
    <row r="86" spans="1:24" s="13" customFormat="1" ht="409.5" x14ac:dyDescent="0.25">
      <c r="A86" s="28">
        <v>70</v>
      </c>
      <c r="B86" s="38" t="s">
        <v>75</v>
      </c>
      <c r="C86" s="38" t="s">
        <v>251</v>
      </c>
      <c r="D86" s="30">
        <v>1</v>
      </c>
      <c r="E86" s="28" t="s">
        <v>357</v>
      </c>
      <c r="F86" s="29" t="s">
        <v>357</v>
      </c>
      <c r="G86" s="29" t="s">
        <v>357</v>
      </c>
      <c r="H86" s="29" t="s">
        <v>357</v>
      </c>
      <c r="I86" s="29" t="s">
        <v>357</v>
      </c>
      <c r="J86" s="29" t="s">
        <v>359</v>
      </c>
      <c r="K86" s="38" t="s">
        <v>423</v>
      </c>
      <c r="L86" s="30"/>
      <c r="M86" s="37" t="s">
        <v>357</v>
      </c>
      <c r="N86" s="38" t="s">
        <v>357</v>
      </c>
      <c r="O86" s="38" t="s">
        <v>357</v>
      </c>
      <c r="P86" s="38" t="s">
        <v>357</v>
      </c>
      <c r="Q86" s="38" t="s">
        <v>542</v>
      </c>
      <c r="R86" s="38" t="str">
        <f t="shared" si="11"/>
        <v>INCLUDE</v>
      </c>
      <c r="S86" s="38" t="s">
        <v>579</v>
      </c>
      <c r="T86" s="30"/>
      <c r="U86" s="28" t="str">
        <f t="shared" si="12"/>
        <v/>
      </c>
      <c r="V86" s="29" t="b">
        <f t="shared" si="13"/>
        <v>0</v>
      </c>
      <c r="W86" s="29" t="str">
        <f t="shared" si="15"/>
        <v>INCLUDE</v>
      </c>
      <c r="X86" s="30"/>
    </row>
    <row r="87" spans="1:24" s="13" customFormat="1" ht="195" x14ac:dyDescent="0.25">
      <c r="A87" s="28">
        <v>71</v>
      </c>
      <c r="B87" s="38" t="s">
        <v>76</v>
      </c>
      <c r="C87" s="38" t="s">
        <v>252</v>
      </c>
      <c r="D87" s="30">
        <v>1</v>
      </c>
      <c r="E87" s="28" t="s">
        <v>357</v>
      </c>
      <c r="F87" s="29" t="s">
        <v>357</v>
      </c>
      <c r="G87" s="29" t="s">
        <v>357</v>
      </c>
      <c r="H87" s="29" t="s">
        <v>357</v>
      </c>
      <c r="I87" s="29" t="s">
        <v>357</v>
      </c>
      <c r="J87" s="29" t="s">
        <v>359</v>
      </c>
      <c r="K87" s="38" t="s">
        <v>424</v>
      </c>
      <c r="L87" s="30"/>
      <c r="M87" s="37" t="s">
        <v>357</v>
      </c>
      <c r="N87" s="38" t="s">
        <v>357</v>
      </c>
      <c r="O87" s="38" t="s">
        <v>357</v>
      </c>
      <c r="P87" s="38" t="s">
        <v>357</v>
      </c>
      <c r="Q87" s="38" t="s">
        <v>542</v>
      </c>
      <c r="R87" s="38" t="str">
        <f t="shared" si="11"/>
        <v>INCLUDE</v>
      </c>
      <c r="S87" s="38"/>
      <c r="T87" s="30"/>
      <c r="U87" s="28" t="str">
        <f t="shared" si="12"/>
        <v/>
      </c>
      <c r="V87" s="29" t="b">
        <f t="shared" si="13"/>
        <v>0</v>
      </c>
      <c r="W87" s="29" t="str">
        <f t="shared" si="15"/>
        <v>INCLUDE</v>
      </c>
      <c r="X87" s="30"/>
    </row>
    <row r="88" spans="1:24" s="13" customFormat="1" ht="270" x14ac:dyDescent="0.25">
      <c r="A88" s="28">
        <v>72</v>
      </c>
      <c r="B88" s="38" t="s">
        <v>77</v>
      </c>
      <c r="C88" s="38" t="s">
        <v>253</v>
      </c>
      <c r="D88" s="30">
        <v>1</v>
      </c>
      <c r="E88" s="28" t="s">
        <v>357</v>
      </c>
      <c r="F88" s="29" t="s">
        <v>357</v>
      </c>
      <c r="G88" s="29" t="s">
        <v>357</v>
      </c>
      <c r="H88" s="29" t="s">
        <v>357</v>
      </c>
      <c r="I88" s="29" t="s">
        <v>357</v>
      </c>
      <c r="J88" s="29" t="s">
        <v>359</v>
      </c>
      <c r="K88" s="38" t="s">
        <v>425</v>
      </c>
      <c r="L88" s="30"/>
      <c r="M88" s="37" t="s">
        <v>357</v>
      </c>
      <c r="N88" s="38" t="s">
        <v>357</v>
      </c>
      <c r="O88" s="38" t="s">
        <v>357</v>
      </c>
      <c r="P88" s="38" t="s">
        <v>357</v>
      </c>
      <c r="Q88" s="38" t="s">
        <v>542</v>
      </c>
      <c r="R88" s="38" t="str">
        <f t="shared" si="11"/>
        <v>INCLUDE</v>
      </c>
      <c r="S88" s="38"/>
      <c r="T88" s="30"/>
      <c r="U88" s="28" t="str">
        <f t="shared" si="12"/>
        <v/>
      </c>
      <c r="V88" s="29" t="b">
        <f t="shared" si="13"/>
        <v>0</v>
      </c>
      <c r="W88" s="29" t="str">
        <f t="shared" si="15"/>
        <v>INCLUDE</v>
      </c>
      <c r="X88" s="30"/>
    </row>
    <row r="89" spans="1:24" s="13" customFormat="1" ht="225" x14ac:dyDescent="0.25">
      <c r="A89" s="28">
        <v>73</v>
      </c>
      <c r="B89" s="38" t="s">
        <v>78</v>
      </c>
      <c r="C89" s="38" t="s">
        <v>254</v>
      </c>
      <c r="D89" s="30">
        <v>1</v>
      </c>
      <c r="E89" s="28" t="s">
        <v>357</v>
      </c>
      <c r="F89" s="29" t="s">
        <v>357</v>
      </c>
      <c r="G89" s="29" t="s">
        <v>357</v>
      </c>
      <c r="H89" s="29" t="s">
        <v>357</v>
      </c>
      <c r="I89" s="29" t="s">
        <v>357</v>
      </c>
      <c r="J89" s="29" t="s">
        <v>359</v>
      </c>
      <c r="K89" s="38" t="s">
        <v>426</v>
      </c>
      <c r="L89" s="30"/>
      <c r="M89" s="37" t="s">
        <v>357</v>
      </c>
      <c r="N89" s="38" t="s">
        <v>357</v>
      </c>
      <c r="O89" s="38" t="s">
        <v>357</v>
      </c>
      <c r="P89" s="38" t="s">
        <v>357</v>
      </c>
      <c r="Q89" s="38" t="s">
        <v>542</v>
      </c>
      <c r="R89" s="38" t="str">
        <f t="shared" si="11"/>
        <v>INCLUDE</v>
      </c>
      <c r="S89" s="38"/>
      <c r="T89" s="30"/>
      <c r="U89" s="28" t="str">
        <f t="shared" si="12"/>
        <v/>
      </c>
      <c r="V89" s="29" t="b">
        <f t="shared" si="13"/>
        <v>0</v>
      </c>
      <c r="W89" s="29" t="str">
        <f t="shared" si="15"/>
        <v>INCLUDE</v>
      </c>
      <c r="X89" s="30"/>
    </row>
    <row r="90" spans="1:24" s="13" customFormat="1" ht="210" x14ac:dyDescent="0.25">
      <c r="A90" s="28">
        <v>74</v>
      </c>
      <c r="B90" s="38" t="s">
        <v>79</v>
      </c>
      <c r="C90" s="38" t="s">
        <v>255</v>
      </c>
      <c r="D90" s="30">
        <v>1</v>
      </c>
      <c r="E90" s="28" t="s">
        <v>357</v>
      </c>
      <c r="F90" s="29" t="s">
        <v>357</v>
      </c>
      <c r="G90" s="29" t="s">
        <v>357</v>
      </c>
      <c r="H90" s="29" t="s">
        <v>357</v>
      </c>
      <c r="I90" s="29" t="s">
        <v>357</v>
      </c>
      <c r="J90" s="29" t="s">
        <v>359</v>
      </c>
      <c r="K90" s="38" t="s">
        <v>427</v>
      </c>
      <c r="L90" s="30"/>
      <c r="M90" s="37" t="s">
        <v>357</v>
      </c>
      <c r="N90" s="38" t="s">
        <v>357</v>
      </c>
      <c r="O90" s="38" t="s">
        <v>357</v>
      </c>
      <c r="P90" s="38" t="s">
        <v>357</v>
      </c>
      <c r="Q90" s="38" t="s">
        <v>542</v>
      </c>
      <c r="R90" s="38" t="str">
        <f t="shared" si="11"/>
        <v>INCLUDE</v>
      </c>
      <c r="S90" s="38"/>
      <c r="T90" s="30"/>
      <c r="U90" s="28" t="str">
        <f t="shared" si="12"/>
        <v/>
      </c>
      <c r="V90" s="29" t="b">
        <f t="shared" si="13"/>
        <v>0</v>
      </c>
      <c r="W90" s="29" t="str">
        <f t="shared" si="15"/>
        <v>INCLUDE</v>
      </c>
      <c r="X90" s="30"/>
    </row>
    <row r="91" spans="1:24" s="13" customFormat="1" ht="285" x14ac:dyDescent="0.25">
      <c r="A91" s="28">
        <v>75</v>
      </c>
      <c r="B91" s="38" t="s">
        <v>80</v>
      </c>
      <c r="C91" s="38" t="s">
        <v>256</v>
      </c>
      <c r="D91" s="30">
        <v>1</v>
      </c>
      <c r="E91" s="28" t="s">
        <v>358</v>
      </c>
      <c r="F91" s="29" t="s">
        <v>357</v>
      </c>
      <c r="G91" s="29" t="s">
        <v>357</v>
      </c>
      <c r="H91" s="29" t="s">
        <v>357</v>
      </c>
      <c r="I91" s="29" t="s">
        <v>357</v>
      </c>
      <c r="J91" s="29" t="s">
        <v>360</v>
      </c>
      <c r="K91" s="38" t="s">
        <v>526</v>
      </c>
      <c r="L91" s="30"/>
      <c r="M91" s="37" t="s">
        <v>358</v>
      </c>
      <c r="N91" s="38"/>
      <c r="O91" s="38"/>
      <c r="P91" s="38"/>
      <c r="Q91" s="38"/>
      <c r="R91" s="38" t="str">
        <f t="shared" si="11"/>
        <v>EXCLUDE</v>
      </c>
      <c r="S91" s="38" t="s">
        <v>580</v>
      </c>
      <c r="T91" s="30"/>
      <c r="U91" s="28" t="str">
        <f t="shared" si="12"/>
        <v/>
      </c>
      <c r="V91" s="29" t="b">
        <f t="shared" si="13"/>
        <v>0</v>
      </c>
      <c r="W91" s="29" t="str">
        <f t="shared" si="15"/>
        <v>EXCLUDE</v>
      </c>
      <c r="X91" s="30"/>
    </row>
    <row r="92" spans="1:24" s="13" customFormat="1" ht="285" x14ac:dyDescent="0.25">
      <c r="A92" s="28">
        <v>76</v>
      </c>
      <c r="B92" s="38" t="s">
        <v>81</v>
      </c>
      <c r="C92" s="38" t="s">
        <v>257</v>
      </c>
      <c r="D92" s="30">
        <v>1</v>
      </c>
      <c r="E92" s="28" t="s">
        <v>357</v>
      </c>
      <c r="F92" s="29" t="s">
        <v>357</v>
      </c>
      <c r="G92" s="29" t="s">
        <v>357</v>
      </c>
      <c r="H92" s="29" t="s">
        <v>357</v>
      </c>
      <c r="I92" s="29" t="s">
        <v>357</v>
      </c>
      <c r="J92" s="29" t="s">
        <v>359</v>
      </c>
      <c r="K92" s="38" t="s">
        <v>428</v>
      </c>
      <c r="L92" s="30"/>
      <c r="M92" s="37" t="s">
        <v>357</v>
      </c>
      <c r="N92" s="38" t="s">
        <v>357</v>
      </c>
      <c r="O92" s="38" t="s">
        <v>357</v>
      </c>
      <c r="P92" s="38" t="s">
        <v>357</v>
      </c>
      <c r="Q92" s="38" t="s">
        <v>542</v>
      </c>
      <c r="R92" s="38" t="str">
        <f t="shared" si="11"/>
        <v>INCLUDE</v>
      </c>
      <c r="S92" s="38"/>
      <c r="T92" s="30"/>
      <c r="U92" s="28" t="str">
        <f t="shared" si="12"/>
        <v/>
      </c>
      <c r="V92" s="29" t="b">
        <f t="shared" si="13"/>
        <v>0</v>
      </c>
      <c r="W92" s="29" t="str">
        <f t="shared" si="15"/>
        <v>INCLUDE</v>
      </c>
      <c r="X92" s="30"/>
    </row>
    <row r="93" spans="1:24" s="13" customFormat="1" ht="210" x14ac:dyDescent="0.25">
      <c r="A93" s="28">
        <v>79</v>
      </c>
      <c r="B93" s="38" t="s">
        <v>84</v>
      </c>
      <c r="C93" s="38" t="s">
        <v>260</v>
      </c>
      <c r="D93" s="30">
        <v>1</v>
      </c>
      <c r="E93" s="28" t="s">
        <v>357</v>
      </c>
      <c r="F93" s="29" t="s">
        <v>357</v>
      </c>
      <c r="G93" s="29" t="s">
        <v>357</v>
      </c>
      <c r="H93" s="29" t="s">
        <v>357</v>
      </c>
      <c r="I93" s="29" t="s">
        <v>357</v>
      </c>
      <c r="J93" s="29" t="s">
        <v>359</v>
      </c>
      <c r="K93" s="38" t="s">
        <v>430</v>
      </c>
      <c r="L93" s="30"/>
      <c r="M93" s="37" t="s">
        <v>357</v>
      </c>
      <c r="N93" s="38" t="s">
        <v>357</v>
      </c>
      <c r="O93" s="38" t="s">
        <v>357</v>
      </c>
      <c r="P93" s="38" t="s">
        <v>357</v>
      </c>
      <c r="Q93" s="38" t="s">
        <v>542</v>
      </c>
      <c r="R93" s="38" t="str">
        <f t="shared" si="11"/>
        <v>INCLUDE</v>
      </c>
      <c r="S93" s="38"/>
      <c r="T93" s="30"/>
      <c r="U93" s="28" t="str">
        <f t="shared" si="12"/>
        <v/>
      </c>
      <c r="V93" s="29" t="b">
        <f t="shared" si="13"/>
        <v>0</v>
      </c>
      <c r="W93" s="29" t="str">
        <f t="shared" si="15"/>
        <v>INCLUDE</v>
      </c>
      <c r="X93" s="30"/>
    </row>
    <row r="94" spans="1:24" s="13" customFormat="1" ht="255" x14ac:dyDescent="0.25">
      <c r="A94" s="28">
        <v>80</v>
      </c>
      <c r="B94" s="38" t="s">
        <v>85</v>
      </c>
      <c r="C94" s="38" t="s">
        <v>261</v>
      </c>
      <c r="D94" s="30">
        <v>1</v>
      </c>
      <c r="E94" s="28" t="s">
        <v>357</v>
      </c>
      <c r="F94" s="29" t="s">
        <v>357</v>
      </c>
      <c r="G94" s="29" t="s">
        <v>357</v>
      </c>
      <c r="H94" s="29" t="s">
        <v>357</v>
      </c>
      <c r="I94" s="29" t="s">
        <v>357</v>
      </c>
      <c r="J94" s="29" t="s">
        <v>359</v>
      </c>
      <c r="K94" s="38" t="s">
        <v>431</v>
      </c>
      <c r="L94" s="30"/>
      <c r="M94" s="37" t="s">
        <v>357</v>
      </c>
      <c r="N94" s="38" t="s">
        <v>357</v>
      </c>
      <c r="O94" s="38" t="s">
        <v>357</v>
      </c>
      <c r="P94" s="38" t="s">
        <v>357</v>
      </c>
      <c r="Q94" s="38" t="s">
        <v>542</v>
      </c>
      <c r="R94" s="38" t="str">
        <f t="shared" si="11"/>
        <v>INCLUDE</v>
      </c>
      <c r="S94" s="38"/>
      <c r="T94" s="30"/>
      <c r="U94" s="28" t="str">
        <f t="shared" si="12"/>
        <v/>
      </c>
      <c r="V94" s="29" t="b">
        <f t="shared" si="13"/>
        <v>0</v>
      </c>
      <c r="W94" s="29" t="str">
        <f t="shared" si="15"/>
        <v>INCLUDE</v>
      </c>
      <c r="X94" s="30"/>
    </row>
    <row r="95" spans="1:24" s="13" customFormat="1" ht="285" x14ac:dyDescent="0.25">
      <c r="A95" s="28">
        <v>81</v>
      </c>
      <c r="B95" s="38" t="s">
        <v>86</v>
      </c>
      <c r="C95" s="38" t="s">
        <v>262</v>
      </c>
      <c r="D95" s="30">
        <v>1</v>
      </c>
      <c r="E95" s="28" t="s">
        <v>357</v>
      </c>
      <c r="F95" s="29" t="s">
        <v>357</v>
      </c>
      <c r="G95" s="29" t="s">
        <v>357</v>
      </c>
      <c r="H95" s="29" t="s">
        <v>357</v>
      </c>
      <c r="I95" s="29" t="s">
        <v>357</v>
      </c>
      <c r="J95" s="29" t="s">
        <v>359</v>
      </c>
      <c r="K95" s="38" t="s">
        <v>432</v>
      </c>
      <c r="L95" s="30"/>
      <c r="M95" s="37" t="s">
        <v>357</v>
      </c>
      <c r="N95" s="38" t="s">
        <v>357</v>
      </c>
      <c r="O95" s="38" t="s">
        <v>357</v>
      </c>
      <c r="P95" s="38" t="s">
        <v>357</v>
      </c>
      <c r="Q95" s="38" t="s">
        <v>542</v>
      </c>
      <c r="R95" s="38" t="str">
        <f t="shared" si="11"/>
        <v>INCLUDE</v>
      </c>
      <c r="S95" s="38"/>
      <c r="T95" s="30"/>
      <c r="U95" s="28" t="str">
        <f t="shared" si="12"/>
        <v/>
      </c>
      <c r="V95" s="29" t="b">
        <f t="shared" si="13"/>
        <v>0</v>
      </c>
      <c r="W95" s="29" t="str">
        <f t="shared" si="15"/>
        <v>INCLUDE</v>
      </c>
      <c r="X95" s="30"/>
    </row>
    <row r="96" spans="1:24" s="13" customFormat="1" ht="315" x14ac:dyDescent="0.25">
      <c r="A96" s="28">
        <v>84</v>
      </c>
      <c r="B96" s="38" t="s">
        <v>89</v>
      </c>
      <c r="C96" s="38" t="s">
        <v>265</v>
      </c>
      <c r="D96" s="30">
        <v>1</v>
      </c>
      <c r="E96" s="28" t="s">
        <v>357</v>
      </c>
      <c r="F96" s="29" t="s">
        <v>357</v>
      </c>
      <c r="G96" s="29" t="s">
        <v>357</v>
      </c>
      <c r="H96" s="29" t="s">
        <v>357</v>
      </c>
      <c r="I96" s="29" t="s">
        <v>357</v>
      </c>
      <c r="J96" s="29" t="s">
        <v>359</v>
      </c>
      <c r="K96" s="38" t="s">
        <v>435</v>
      </c>
      <c r="L96" s="30"/>
      <c r="M96" s="37"/>
      <c r="N96" s="38"/>
      <c r="O96" s="38" t="s">
        <v>560</v>
      </c>
      <c r="P96" s="38"/>
      <c r="Q96" s="38"/>
      <c r="R96" s="38" t="str">
        <f t="shared" si="11"/>
        <v>EXCLUDE</v>
      </c>
      <c r="S96" s="38" t="s">
        <v>585</v>
      </c>
      <c r="T96" s="30"/>
      <c r="U96" s="28" t="str">
        <f t="shared" si="12"/>
        <v/>
      </c>
      <c r="V96" s="29" t="b">
        <f t="shared" si="13"/>
        <v>1</v>
      </c>
      <c r="W96" s="29" t="s">
        <v>359</v>
      </c>
      <c r="X96" s="31" t="s">
        <v>628</v>
      </c>
    </row>
    <row r="97" spans="1:24" s="13" customFormat="1" ht="255" x14ac:dyDescent="0.25">
      <c r="A97" s="28">
        <v>85</v>
      </c>
      <c r="B97" s="38" t="s">
        <v>90</v>
      </c>
      <c r="C97" s="38" t="s">
        <v>266</v>
      </c>
      <c r="D97" s="30">
        <v>1</v>
      </c>
      <c r="E97" s="28" t="s">
        <v>357</v>
      </c>
      <c r="F97" s="29" t="s">
        <v>357</v>
      </c>
      <c r="G97" s="29" t="s">
        <v>357</v>
      </c>
      <c r="H97" s="29" t="s">
        <v>357</v>
      </c>
      <c r="I97" s="29" t="s">
        <v>357</v>
      </c>
      <c r="J97" s="29" t="s">
        <v>359</v>
      </c>
      <c r="K97" s="38" t="s">
        <v>436</v>
      </c>
      <c r="L97" s="30"/>
      <c r="M97" s="37" t="s">
        <v>357</v>
      </c>
      <c r="N97" s="38" t="s">
        <v>357</v>
      </c>
      <c r="O97" s="38" t="s">
        <v>357</v>
      </c>
      <c r="P97" s="38" t="s">
        <v>357</v>
      </c>
      <c r="Q97" s="38" t="s">
        <v>542</v>
      </c>
      <c r="R97" s="38" t="str">
        <f t="shared" si="11"/>
        <v>INCLUDE</v>
      </c>
      <c r="S97" s="38"/>
      <c r="T97" s="30"/>
      <c r="U97" s="28" t="str">
        <f t="shared" si="12"/>
        <v/>
      </c>
      <c r="V97" s="29" t="b">
        <f t="shared" si="13"/>
        <v>0</v>
      </c>
      <c r="W97" s="29" t="str">
        <f t="shared" ref="W97:W147" si="16">J97</f>
        <v>INCLUDE</v>
      </c>
      <c r="X97" s="30"/>
    </row>
    <row r="98" spans="1:24" s="13" customFormat="1" ht="270" x14ac:dyDescent="0.25">
      <c r="A98" s="28">
        <v>86</v>
      </c>
      <c r="B98" s="38" t="s">
        <v>91</v>
      </c>
      <c r="C98" s="38" t="s">
        <v>267</v>
      </c>
      <c r="D98" s="30">
        <v>1</v>
      </c>
      <c r="E98" s="28" t="s">
        <v>357</v>
      </c>
      <c r="F98" s="29" t="s">
        <v>357</v>
      </c>
      <c r="G98" s="29" t="s">
        <v>357</v>
      </c>
      <c r="H98" s="29" t="s">
        <v>357</v>
      </c>
      <c r="I98" s="29" t="s">
        <v>357</v>
      </c>
      <c r="J98" s="29" t="s">
        <v>359</v>
      </c>
      <c r="K98" s="38" t="s">
        <v>437</v>
      </c>
      <c r="L98" s="30"/>
      <c r="M98" s="37" t="s">
        <v>357</v>
      </c>
      <c r="N98" s="38" t="s">
        <v>357</v>
      </c>
      <c r="O98" s="38" t="s">
        <v>357</v>
      </c>
      <c r="P98" s="38" t="s">
        <v>357</v>
      </c>
      <c r="Q98" s="38" t="s">
        <v>542</v>
      </c>
      <c r="R98" s="38" t="str">
        <f t="shared" si="11"/>
        <v>INCLUDE</v>
      </c>
      <c r="S98" s="38"/>
      <c r="T98" s="30"/>
      <c r="U98" s="28" t="str">
        <f t="shared" si="12"/>
        <v/>
      </c>
      <c r="V98" s="29" t="b">
        <f t="shared" si="13"/>
        <v>0</v>
      </c>
      <c r="W98" s="29" t="str">
        <f t="shared" si="16"/>
        <v>INCLUDE</v>
      </c>
      <c r="X98" s="30"/>
    </row>
    <row r="99" spans="1:24" s="13" customFormat="1" ht="315" x14ac:dyDescent="0.25">
      <c r="A99" s="28">
        <v>87</v>
      </c>
      <c r="B99" s="38" t="s">
        <v>92</v>
      </c>
      <c r="C99" s="38" t="s">
        <v>268</v>
      </c>
      <c r="D99" s="30">
        <v>1</v>
      </c>
      <c r="E99" s="28" t="s">
        <v>357</v>
      </c>
      <c r="F99" s="29" t="s">
        <v>357</v>
      </c>
      <c r="G99" s="29" t="s">
        <v>357</v>
      </c>
      <c r="H99" s="29" t="s">
        <v>357</v>
      </c>
      <c r="I99" s="29" t="s">
        <v>357</v>
      </c>
      <c r="J99" s="29" t="s">
        <v>359</v>
      </c>
      <c r="K99" s="38" t="s">
        <v>438</v>
      </c>
      <c r="L99" s="30"/>
      <c r="M99" s="37" t="s">
        <v>357</v>
      </c>
      <c r="N99" s="38" t="s">
        <v>357</v>
      </c>
      <c r="O99" s="38" t="s">
        <v>357</v>
      </c>
      <c r="P99" s="38" t="s">
        <v>357</v>
      </c>
      <c r="Q99" s="38" t="s">
        <v>542</v>
      </c>
      <c r="R99" s="38" t="str">
        <f t="shared" ref="R99:R130" si="17">IF(COUNTA(M99:Q99)=0,"",IF(COUNTIF(M99:Q99,"Yes")&gt;0,"EXCLUDE","INCLUDE"))</f>
        <v>INCLUDE</v>
      </c>
      <c r="S99" s="38" t="s">
        <v>586</v>
      </c>
      <c r="T99" s="30"/>
      <c r="U99" s="28" t="str">
        <f t="shared" si="12"/>
        <v/>
      </c>
      <c r="V99" s="29" t="b">
        <f t="shared" si="13"/>
        <v>0</v>
      </c>
      <c r="W99" s="29" t="str">
        <f t="shared" si="16"/>
        <v>INCLUDE</v>
      </c>
      <c r="X99" s="30"/>
    </row>
    <row r="100" spans="1:24" s="13" customFormat="1" ht="270" x14ac:dyDescent="0.25">
      <c r="A100" s="28">
        <v>88</v>
      </c>
      <c r="B100" s="38" t="s">
        <v>93</v>
      </c>
      <c r="C100" s="38" t="s">
        <v>269</v>
      </c>
      <c r="D100" s="30">
        <v>1</v>
      </c>
      <c r="E100" s="28" t="s">
        <v>357</v>
      </c>
      <c r="F100" s="29" t="s">
        <v>357</v>
      </c>
      <c r="G100" s="29" t="s">
        <v>357</v>
      </c>
      <c r="H100" s="29" t="s">
        <v>357</v>
      </c>
      <c r="I100" s="29" t="s">
        <v>357</v>
      </c>
      <c r="J100" s="29" t="s">
        <v>359</v>
      </c>
      <c r="K100" s="38" t="s">
        <v>439</v>
      </c>
      <c r="L100" s="30"/>
      <c r="M100" s="37" t="s">
        <v>357</v>
      </c>
      <c r="N100" s="38" t="s">
        <v>357</v>
      </c>
      <c r="O100" s="38" t="s">
        <v>357</v>
      </c>
      <c r="P100" s="38" t="s">
        <v>357</v>
      </c>
      <c r="Q100" s="38" t="s">
        <v>542</v>
      </c>
      <c r="R100" s="38" t="str">
        <f t="shared" si="17"/>
        <v>INCLUDE</v>
      </c>
      <c r="S100" s="38"/>
      <c r="T100" s="30"/>
      <c r="U100" s="28" t="str">
        <f t="shared" si="12"/>
        <v/>
      </c>
      <c r="V100" s="29" t="b">
        <f t="shared" si="13"/>
        <v>0</v>
      </c>
      <c r="W100" s="29" t="str">
        <f t="shared" si="16"/>
        <v>INCLUDE</v>
      </c>
      <c r="X100" s="30"/>
    </row>
    <row r="101" spans="1:24" s="13" customFormat="1" ht="270" x14ac:dyDescent="0.25">
      <c r="A101" s="28">
        <v>89</v>
      </c>
      <c r="B101" s="38" t="s">
        <v>94</v>
      </c>
      <c r="C101" s="38" t="s">
        <v>270</v>
      </c>
      <c r="D101" s="30">
        <v>1</v>
      </c>
      <c r="E101" s="28" t="s">
        <v>357</v>
      </c>
      <c r="F101" s="29" t="s">
        <v>357</v>
      </c>
      <c r="G101" s="29" t="s">
        <v>357</v>
      </c>
      <c r="H101" s="29" t="s">
        <v>357</v>
      </c>
      <c r="I101" s="29" t="s">
        <v>357</v>
      </c>
      <c r="J101" s="29" t="s">
        <v>359</v>
      </c>
      <c r="K101" s="38" t="s">
        <v>440</v>
      </c>
      <c r="L101" s="30"/>
      <c r="M101" s="37" t="s">
        <v>357</v>
      </c>
      <c r="N101" s="38" t="s">
        <v>357</v>
      </c>
      <c r="O101" s="38" t="s">
        <v>357</v>
      </c>
      <c r="P101" s="38" t="s">
        <v>357</v>
      </c>
      <c r="Q101" s="38" t="s">
        <v>542</v>
      </c>
      <c r="R101" s="38" t="str">
        <f t="shared" si="17"/>
        <v>INCLUDE</v>
      </c>
      <c r="S101" s="38"/>
      <c r="T101" s="30"/>
      <c r="U101" s="28" t="str">
        <f t="shared" si="12"/>
        <v/>
      </c>
      <c r="V101" s="29" t="b">
        <f t="shared" si="13"/>
        <v>0</v>
      </c>
      <c r="W101" s="29" t="str">
        <f t="shared" si="16"/>
        <v>INCLUDE</v>
      </c>
      <c r="X101" s="30"/>
    </row>
    <row r="102" spans="1:24" s="13" customFormat="1" ht="285" x14ac:dyDescent="0.25">
      <c r="A102" s="28">
        <v>90</v>
      </c>
      <c r="B102" s="38" t="s">
        <v>95</v>
      </c>
      <c r="C102" s="38" t="s">
        <v>271</v>
      </c>
      <c r="D102" s="30">
        <v>1</v>
      </c>
      <c r="E102" s="28" t="s">
        <v>357</v>
      </c>
      <c r="F102" s="29" t="s">
        <v>357</v>
      </c>
      <c r="G102" s="29" t="s">
        <v>357</v>
      </c>
      <c r="H102" s="29" t="s">
        <v>357</v>
      </c>
      <c r="I102" s="29" t="s">
        <v>357</v>
      </c>
      <c r="J102" s="29" t="s">
        <v>359</v>
      </c>
      <c r="K102" s="38" t="s">
        <v>441</v>
      </c>
      <c r="L102" s="30"/>
      <c r="M102" s="37" t="s">
        <v>357</v>
      </c>
      <c r="N102" s="38" t="s">
        <v>357</v>
      </c>
      <c r="O102" s="38" t="s">
        <v>357</v>
      </c>
      <c r="P102" s="38" t="s">
        <v>357</v>
      </c>
      <c r="Q102" s="38" t="s">
        <v>542</v>
      </c>
      <c r="R102" s="38" t="str">
        <f t="shared" si="17"/>
        <v>INCLUDE</v>
      </c>
      <c r="S102" s="38"/>
      <c r="T102" s="30"/>
      <c r="U102" s="28" t="str">
        <f t="shared" si="12"/>
        <v/>
      </c>
      <c r="V102" s="29" t="b">
        <f t="shared" si="13"/>
        <v>0</v>
      </c>
      <c r="W102" s="29" t="str">
        <f t="shared" si="16"/>
        <v>INCLUDE</v>
      </c>
      <c r="X102" s="30"/>
    </row>
    <row r="103" spans="1:24" s="13" customFormat="1" ht="255" x14ac:dyDescent="0.25">
      <c r="A103" s="28">
        <v>91</v>
      </c>
      <c r="B103" s="38" t="s">
        <v>96</v>
      </c>
      <c r="C103" s="38" t="s">
        <v>272</v>
      </c>
      <c r="D103" s="30">
        <v>1</v>
      </c>
      <c r="E103" s="28" t="s">
        <v>357</v>
      </c>
      <c r="F103" s="29" t="s">
        <v>357</v>
      </c>
      <c r="G103" s="29" t="s">
        <v>357</v>
      </c>
      <c r="H103" s="29" t="s">
        <v>357</v>
      </c>
      <c r="I103" s="29" t="s">
        <v>357</v>
      </c>
      <c r="J103" s="29" t="s">
        <v>359</v>
      </c>
      <c r="K103" s="38" t="s">
        <v>442</v>
      </c>
      <c r="L103" s="30"/>
      <c r="M103" s="37" t="s">
        <v>357</v>
      </c>
      <c r="N103" s="38" t="s">
        <v>357</v>
      </c>
      <c r="O103" s="38" t="s">
        <v>357</v>
      </c>
      <c r="P103" s="38" t="s">
        <v>357</v>
      </c>
      <c r="Q103" s="38" t="s">
        <v>542</v>
      </c>
      <c r="R103" s="38" t="str">
        <f t="shared" si="17"/>
        <v>INCLUDE</v>
      </c>
      <c r="S103" s="38" t="s">
        <v>587</v>
      </c>
      <c r="T103" s="30"/>
      <c r="U103" s="28" t="str">
        <f t="shared" si="12"/>
        <v/>
      </c>
      <c r="V103" s="29" t="b">
        <f t="shared" si="13"/>
        <v>0</v>
      </c>
      <c r="W103" s="29" t="str">
        <f t="shared" si="16"/>
        <v>INCLUDE</v>
      </c>
      <c r="X103" s="30"/>
    </row>
    <row r="104" spans="1:24" s="13" customFormat="1" ht="300" x14ac:dyDescent="0.25">
      <c r="A104" s="28">
        <v>92</v>
      </c>
      <c r="B104" s="38" t="s">
        <v>97</v>
      </c>
      <c r="C104" s="38" t="s">
        <v>273</v>
      </c>
      <c r="D104" s="30">
        <v>1</v>
      </c>
      <c r="E104" s="28" t="s">
        <v>357</v>
      </c>
      <c r="F104" s="29" t="s">
        <v>357</v>
      </c>
      <c r="G104" s="29" t="s">
        <v>357</v>
      </c>
      <c r="H104" s="29" t="s">
        <v>357</v>
      </c>
      <c r="I104" s="29" t="s">
        <v>357</v>
      </c>
      <c r="J104" s="29" t="s">
        <v>359</v>
      </c>
      <c r="K104" s="38" t="s">
        <v>443</v>
      </c>
      <c r="L104" s="30"/>
      <c r="M104" s="37" t="s">
        <v>357</v>
      </c>
      <c r="N104" s="38" t="s">
        <v>357</v>
      </c>
      <c r="O104" s="38" t="s">
        <v>357</v>
      </c>
      <c r="P104" s="38" t="s">
        <v>357</v>
      </c>
      <c r="Q104" s="38" t="s">
        <v>542</v>
      </c>
      <c r="R104" s="38" t="str">
        <f t="shared" si="17"/>
        <v>INCLUDE</v>
      </c>
      <c r="S104" s="38"/>
      <c r="T104" s="30"/>
      <c r="U104" s="28" t="str">
        <f t="shared" si="12"/>
        <v/>
      </c>
      <c r="V104" s="29" t="b">
        <f t="shared" si="13"/>
        <v>0</v>
      </c>
      <c r="W104" s="29" t="str">
        <f t="shared" si="16"/>
        <v>INCLUDE</v>
      </c>
      <c r="X104" s="30"/>
    </row>
    <row r="105" spans="1:24" s="13" customFormat="1" ht="225" x14ac:dyDescent="0.25">
      <c r="A105" s="28">
        <v>93</v>
      </c>
      <c r="B105" s="38" t="s">
        <v>98</v>
      </c>
      <c r="C105" s="38" t="s">
        <v>274</v>
      </c>
      <c r="D105" s="30">
        <v>1</v>
      </c>
      <c r="E105" s="28" t="s">
        <v>357</v>
      </c>
      <c r="F105" s="29" t="s">
        <v>357</v>
      </c>
      <c r="G105" s="29" t="s">
        <v>357</v>
      </c>
      <c r="H105" s="29" t="s">
        <v>357</v>
      </c>
      <c r="I105" s="29" t="s">
        <v>357</v>
      </c>
      <c r="J105" s="29" t="s">
        <v>359</v>
      </c>
      <c r="K105" s="38" t="s">
        <v>444</v>
      </c>
      <c r="L105" s="30"/>
      <c r="M105" s="37" t="s">
        <v>357</v>
      </c>
      <c r="N105" s="38" t="s">
        <v>357</v>
      </c>
      <c r="O105" s="38" t="s">
        <v>357</v>
      </c>
      <c r="P105" s="38" t="s">
        <v>357</v>
      </c>
      <c r="Q105" s="38" t="s">
        <v>542</v>
      </c>
      <c r="R105" s="38" t="str">
        <f t="shared" si="17"/>
        <v>INCLUDE</v>
      </c>
      <c r="S105" s="38" t="s">
        <v>588</v>
      </c>
      <c r="T105" s="30"/>
      <c r="U105" s="28" t="str">
        <f t="shared" si="12"/>
        <v/>
      </c>
      <c r="V105" s="29" t="b">
        <f t="shared" si="13"/>
        <v>0</v>
      </c>
      <c r="W105" s="29" t="str">
        <f t="shared" si="16"/>
        <v>INCLUDE</v>
      </c>
      <c r="X105" s="30"/>
    </row>
    <row r="106" spans="1:24" s="13" customFormat="1" ht="105" x14ac:dyDescent="0.25">
      <c r="A106" s="28">
        <v>95</v>
      </c>
      <c r="B106" s="38" t="s">
        <v>100</v>
      </c>
      <c r="C106" s="38" t="s">
        <v>276</v>
      </c>
      <c r="D106" s="30">
        <v>1</v>
      </c>
      <c r="E106" s="28" t="s">
        <v>357</v>
      </c>
      <c r="F106" s="29" t="s">
        <v>357</v>
      </c>
      <c r="G106" s="29" t="s">
        <v>357</v>
      </c>
      <c r="H106" s="29" t="s">
        <v>357</v>
      </c>
      <c r="I106" s="29" t="s">
        <v>357</v>
      </c>
      <c r="J106" s="29" t="s">
        <v>359</v>
      </c>
      <c r="K106" s="38" t="s">
        <v>445</v>
      </c>
      <c r="L106" s="30"/>
      <c r="M106" s="37" t="s">
        <v>357</v>
      </c>
      <c r="N106" s="38" t="s">
        <v>357</v>
      </c>
      <c r="O106" s="38" t="s">
        <v>357</v>
      </c>
      <c r="P106" s="38" t="s">
        <v>357</v>
      </c>
      <c r="Q106" s="38" t="s">
        <v>542</v>
      </c>
      <c r="R106" s="38" t="str">
        <f t="shared" si="17"/>
        <v>INCLUDE</v>
      </c>
      <c r="S106" s="38" t="s">
        <v>590</v>
      </c>
      <c r="T106" s="30"/>
      <c r="U106" s="28" t="str">
        <f t="shared" si="12"/>
        <v/>
      </c>
      <c r="V106" s="29" t="b">
        <f t="shared" si="13"/>
        <v>0</v>
      </c>
      <c r="W106" s="29" t="str">
        <f t="shared" si="16"/>
        <v>INCLUDE</v>
      </c>
      <c r="X106" s="30"/>
    </row>
    <row r="107" spans="1:24" s="13" customFormat="1" ht="285" x14ac:dyDescent="0.25">
      <c r="A107" s="28">
        <v>97</v>
      </c>
      <c r="B107" s="38" t="s">
        <v>102</v>
      </c>
      <c r="C107" s="38" t="s">
        <v>278</v>
      </c>
      <c r="D107" s="30">
        <v>1</v>
      </c>
      <c r="E107" s="28" t="s">
        <v>357</v>
      </c>
      <c r="F107" s="29" t="s">
        <v>357</v>
      </c>
      <c r="G107" s="29" t="s">
        <v>357</v>
      </c>
      <c r="H107" s="29" t="s">
        <v>357</v>
      </c>
      <c r="I107" s="29" t="s">
        <v>357</v>
      </c>
      <c r="J107" s="29" t="s">
        <v>359</v>
      </c>
      <c r="K107" s="38" t="s">
        <v>447</v>
      </c>
      <c r="L107" s="30"/>
      <c r="M107" s="37" t="s">
        <v>357</v>
      </c>
      <c r="N107" s="38" t="s">
        <v>357</v>
      </c>
      <c r="O107" s="38" t="s">
        <v>357</v>
      </c>
      <c r="P107" s="38" t="s">
        <v>357</v>
      </c>
      <c r="Q107" s="38" t="s">
        <v>542</v>
      </c>
      <c r="R107" s="38" t="str">
        <f t="shared" si="17"/>
        <v>INCLUDE</v>
      </c>
      <c r="S107" s="38"/>
      <c r="T107" s="30"/>
      <c r="U107" s="28" t="str">
        <f t="shared" si="12"/>
        <v/>
      </c>
      <c r="V107" s="29" t="b">
        <f t="shared" si="13"/>
        <v>0</v>
      </c>
      <c r="W107" s="29" t="str">
        <f t="shared" si="16"/>
        <v>INCLUDE</v>
      </c>
      <c r="X107" s="30"/>
    </row>
    <row r="108" spans="1:24" s="13" customFormat="1" ht="195" x14ac:dyDescent="0.25">
      <c r="A108" s="28">
        <v>98</v>
      </c>
      <c r="B108" s="38" t="s">
        <v>103</v>
      </c>
      <c r="C108" s="38" t="s">
        <v>279</v>
      </c>
      <c r="D108" s="30">
        <v>1</v>
      </c>
      <c r="E108" s="28" t="s">
        <v>357</v>
      </c>
      <c r="F108" s="29" t="s">
        <v>357</v>
      </c>
      <c r="G108" s="29" t="s">
        <v>357</v>
      </c>
      <c r="H108" s="29" t="s">
        <v>357</v>
      </c>
      <c r="I108" s="29" t="s">
        <v>357</v>
      </c>
      <c r="J108" s="29" t="s">
        <v>359</v>
      </c>
      <c r="K108" s="38" t="s">
        <v>448</v>
      </c>
      <c r="L108" s="30"/>
      <c r="M108" s="37" t="s">
        <v>357</v>
      </c>
      <c r="N108" s="38" t="s">
        <v>357</v>
      </c>
      <c r="O108" s="38" t="s">
        <v>357</v>
      </c>
      <c r="P108" s="38" t="s">
        <v>357</v>
      </c>
      <c r="Q108" s="38" t="s">
        <v>542</v>
      </c>
      <c r="R108" s="38" t="str">
        <f t="shared" si="17"/>
        <v>INCLUDE</v>
      </c>
      <c r="S108" s="38" t="s">
        <v>592</v>
      </c>
      <c r="T108" s="30"/>
      <c r="U108" s="28" t="str">
        <f t="shared" si="12"/>
        <v/>
      </c>
      <c r="V108" s="29" t="b">
        <f t="shared" si="13"/>
        <v>0</v>
      </c>
      <c r="W108" s="29" t="str">
        <f t="shared" si="16"/>
        <v>INCLUDE</v>
      </c>
      <c r="X108" s="30"/>
    </row>
    <row r="109" spans="1:24" s="13" customFormat="1" ht="255" x14ac:dyDescent="0.25">
      <c r="A109" s="28">
        <v>99</v>
      </c>
      <c r="B109" s="38" t="s">
        <v>104</v>
      </c>
      <c r="C109" s="38" t="s">
        <v>280</v>
      </c>
      <c r="D109" s="30">
        <v>1</v>
      </c>
      <c r="E109" s="28" t="s">
        <v>357</v>
      </c>
      <c r="F109" s="29" t="s">
        <v>357</v>
      </c>
      <c r="G109" s="29" t="s">
        <v>357</v>
      </c>
      <c r="H109" s="29" t="s">
        <v>357</v>
      </c>
      <c r="I109" s="29" t="s">
        <v>357</v>
      </c>
      <c r="J109" s="29" t="s">
        <v>359</v>
      </c>
      <c r="K109" s="38" t="s">
        <v>449</v>
      </c>
      <c r="L109" s="30"/>
      <c r="M109" s="37" t="s">
        <v>357</v>
      </c>
      <c r="N109" s="38" t="s">
        <v>357</v>
      </c>
      <c r="O109" s="38" t="s">
        <v>357</v>
      </c>
      <c r="P109" s="38" t="s">
        <v>357</v>
      </c>
      <c r="Q109" s="38" t="s">
        <v>542</v>
      </c>
      <c r="R109" s="38" t="str">
        <f t="shared" si="17"/>
        <v>INCLUDE</v>
      </c>
      <c r="S109" s="38"/>
      <c r="T109" s="30"/>
      <c r="U109" s="28" t="str">
        <f t="shared" si="12"/>
        <v/>
      </c>
      <c r="V109" s="29" t="b">
        <f t="shared" si="13"/>
        <v>0</v>
      </c>
      <c r="W109" s="29" t="str">
        <f t="shared" si="16"/>
        <v>INCLUDE</v>
      </c>
      <c r="X109" s="30"/>
    </row>
    <row r="110" spans="1:24" s="13" customFormat="1" ht="285" x14ac:dyDescent="0.25">
      <c r="A110" s="28">
        <v>100</v>
      </c>
      <c r="B110" s="38" t="s">
        <v>105</v>
      </c>
      <c r="C110" s="38" t="s">
        <v>281</v>
      </c>
      <c r="D110" s="30">
        <v>1</v>
      </c>
      <c r="E110" s="28" t="s">
        <v>357</v>
      </c>
      <c r="F110" s="29" t="s">
        <v>357</v>
      </c>
      <c r="G110" s="29" t="s">
        <v>357</v>
      </c>
      <c r="H110" s="29" t="s">
        <v>357</v>
      </c>
      <c r="I110" s="29" t="s">
        <v>357</v>
      </c>
      <c r="J110" s="29" t="s">
        <v>359</v>
      </c>
      <c r="K110" s="38" t="s">
        <v>450</v>
      </c>
      <c r="L110" s="30"/>
      <c r="M110" s="37" t="s">
        <v>357</v>
      </c>
      <c r="N110" s="38" t="s">
        <v>357</v>
      </c>
      <c r="O110" s="38" t="s">
        <v>357</v>
      </c>
      <c r="P110" s="38" t="s">
        <v>357</v>
      </c>
      <c r="Q110" s="38" t="s">
        <v>542</v>
      </c>
      <c r="R110" s="38" t="str">
        <f t="shared" si="17"/>
        <v>INCLUDE</v>
      </c>
      <c r="S110" s="38"/>
      <c r="T110" s="30"/>
      <c r="U110" s="28" t="str">
        <f t="shared" si="12"/>
        <v/>
      </c>
      <c r="V110" s="29" t="b">
        <f t="shared" si="13"/>
        <v>0</v>
      </c>
      <c r="W110" s="29" t="str">
        <f t="shared" si="16"/>
        <v>INCLUDE</v>
      </c>
      <c r="X110" s="30"/>
    </row>
    <row r="111" spans="1:24" s="13" customFormat="1" ht="180" x14ac:dyDescent="0.25">
      <c r="A111" s="28">
        <v>101</v>
      </c>
      <c r="B111" s="38" t="s">
        <v>106</v>
      </c>
      <c r="C111" s="38" t="s">
        <v>282</v>
      </c>
      <c r="D111" s="30">
        <v>1</v>
      </c>
      <c r="E111" s="28" t="s">
        <v>357</v>
      </c>
      <c r="F111" s="29" t="s">
        <v>358</v>
      </c>
      <c r="G111" s="29" t="s">
        <v>357</v>
      </c>
      <c r="H111" s="29" t="s">
        <v>357</v>
      </c>
      <c r="I111" s="29" t="s">
        <v>357</v>
      </c>
      <c r="J111" s="29" t="s">
        <v>360</v>
      </c>
      <c r="K111" s="38" t="s">
        <v>517</v>
      </c>
      <c r="L111" s="30"/>
      <c r="M111" s="37" t="s">
        <v>357</v>
      </c>
      <c r="N111" s="38" t="s">
        <v>560</v>
      </c>
      <c r="O111" s="38"/>
      <c r="P111" s="38"/>
      <c r="Q111" s="38"/>
      <c r="R111" s="38" t="str">
        <f t="shared" si="17"/>
        <v>EXCLUDE</v>
      </c>
      <c r="S111" s="38" t="s">
        <v>593</v>
      </c>
      <c r="T111" s="30"/>
      <c r="U111" s="28" t="str">
        <f t="shared" si="12"/>
        <v/>
      </c>
      <c r="V111" s="29" t="b">
        <f t="shared" si="13"/>
        <v>0</v>
      </c>
      <c r="W111" s="29" t="str">
        <f t="shared" si="16"/>
        <v>EXCLUDE</v>
      </c>
      <c r="X111" s="30"/>
    </row>
    <row r="112" spans="1:24" s="13" customFormat="1" ht="165" x14ac:dyDescent="0.25">
      <c r="A112" s="28">
        <v>102</v>
      </c>
      <c r="B112" s="38" t="s">
        <v>107</v>
      </c>
      <c r="C112" s="38" t="s">
        <v>283</v>
      </c>
      <c r="D112" s="30">
        <v>1</v>
      </c>
      <c r="E112" s="28" t="s">
        <v>357</v>
      </c>
      <c r="F112" s="29" t="s">
        <v>357</v>
      </c>
      <c r="G112" s="29" t="s">
        <v>357</v>
      </c>
      <c r="H112" s="29" t="s">
        <v>357</v>
      </c>
      <c r="I112" s="29" t="s">
        <v>357</v>
      </c>
      <c r="J112" s="29" t="s">
        <v>359</v>
      </c>
      <c r="K112" s="38" t="s">
        <v>451</v>
      </c>
      <c r="L112" s="30"/>
      <c r="M112" s="37" t="s">
        <v>357</v>
      </c>
      <c r="N112" s="38" t="s">
        <v>357</v>
      </c>
      <c r="O112" s="38" t="s">
        <v>357</v>
      </c>
      <c r="P112" s="38" t="s">
        <v>357</v>
      </c>
      <c r="Q112" s="38" t="s">
        <v>542</v>
      </c>
      <c r="R112" s="38" t="str">
        <f t="shared" si="17"/>
        <v>INCLUDE</v>
      </c>
      <c r="S112" s="38"/>
      <c r="T112" s="30"/>
      <c r="U112" s="28" t="str">
        <f t="shared" si="12"/>
        <v/>
      </c>
      <c r="V112" s="29" t="b">
        <f t="shared" si="13"/>
        <v>0</v>
      </c>
      <c r="W112" s="29" t="str">
        <f t="shared" si="16"/>
        <v>INCLUDE</v>
      </c>
      <c r="X112" s="30"/>
    </row>
    <row r="113" spans="1:24" s="13" customFormat="1" ht="360" x14ac:dyDescent="0.25">
      <c r="A113" s="28">
        <v>104</v>
      </c>
      <c r="B113" s="38" t="s">
        <v>109</v>
      </c>
      <c r="C113" s="38" t="s">
        <v>285</v>
      </c>
      <c r="D113" s="30">
        <v>1</v>
      </c>
      <c r="E113" s="28" t="s">
        <v>357</v>
      </c>
      <c r="F113" s="29" t="s">
        <v>357</v>
      </c>
      <c r="G113" s="29" t="s">
        <v>357</v>
      </c>
      <c r="H113" s="29" t="s">
        <v>357</v>
      </c>
      <c r="I113" s="29" t="s">
        <v>357</v>
      </c>
      <c r="J113" s="29" t="s">
        <v>359</v>
      </c>
      <c r="K113" s="38" t="s">
        <v>453</v>
      </c>
      <c r="L113" s="30"/>
      <c r="M113" s="37" t="s">
        <v>357</v>
      </c>
      <c r="N113" s="38" t="s">
        <v>357</v>
      </c>
      <c r="O113" s="38" t="s">
        <v>357</v>
      </c>
      <c r="P113" s="38" t="s">
        <v>357</v>
      </c>
      <c r="Q113" s="38" t="s">
        <v>542</v>
      </c>
      <c r="R113" s="38" t="str">
        <f t="shared" si="17"/>
        <v>INCLUDE</v>
      </c>
      <c r="S113" s="38"/>
      <c r="T113" s="30"/>
      <c r="U113" s="28" t="str">
        <f t="shared" si="12"/>
        <v/>
      </c>
      <c r="V113" s="29" t="b">
        <f t="shared" si="13"/>
        <v>0</v>
      </c>
      <c r="W113" s="29" t="str">
        <f t="shared" si="16"/>
        <v>INCLUDE</v>
      </c>
      <c r="X113" s="30"/>
    </row>
    <row r="114" spans="1:24" s="13" customFormat="1" ht="195" x14ac:dyDescent="0.25">
      <c r="A114" s="28">
        <v>106</v>
      </c>
      <c r="B114" s="38" t="s">
        <v>111</v>
      </c>
      <c r="C114" s="38" t="s">
        <v>287</v>
      </c>
      <c r="D114" s="30">
        <v>1</v>
      </c>
      <c r="E114" s="28" t="s">
        <v>357</v>
      </c>
      <c r="F114" s="29" t="s">
        <v>357</v>
      </c>
      <c r="G114" s="29" t="s">
        <v>358</v>
      </c>
      <c r="H114" s="29" t="s">
        <v>357</v>
      </c>
      <c r="I114" s="29" t="s">
        <v>357</v>
      </c>
      <c r="J114" s="29" t="s">
        <v>360</v>
      </c>
      <c r="K114" s="38" t="s">
        <v>529</v>
      </c>
      <c r="L114" s="30"/>
      <c r="M114" s="37" t="s">
        <v>357</v>
      </c>
      <c r="N114" s="38" t="s">
        <v>357</v>
      </c>
      <c r="O114" s="38" t="s">
        <v>560</v>
      </c>
      <c r="P114" s="38"/>
      <c r="Q114" s="38"/>
      <c r="R114" s="38" t="str">
        <f t="shared" si="17"/>
        <v>EXCLUDE</v>
      </c>
      <c r="S114" s="38" t="s">
        <v>585</v>
      </c>
      <c r="T114" s="30"/>
      <c r="U114" s="28" t="str">
        <f t="shared" si="12"/>
        <v/>
      </c>
      <c r="V114" s="29" t="b">
        <f t="shared" si="13"/>
        <v>0</v>
      </c>
      <c r="W114" s="29" t="str">
        <f t="shared" si="16"/>
        <v>EXCLUDE</v>
      </c>
      <c r="X114" s="30"/>
    </row>
    <row r="115" spans="1:24" s="13" customFormat="1" ht="255" x14ac:dyDescent="0.25">
      <c r="A115" s="28">
        <v>107</v>
      </c>
      <c r="B115" s="38" t="s">
        <v>112</v>
      </c>
      <c r="C115" s="38" t="s">
        <v>288</v>
      </c>
      <c r="D115" s="30">
        <v>1</v>
      </c>
      <c r="E115" s="28" t="s">
        <v>357</v>
      </c>
      <c r="F115" s="29" t="s">
        <v>357</v>
      </c>
      <c r="G115" s="29" t="s">
        <v>357</v>
      </c>
      <c r="H115" s="29" t="s">
        <v>357</v>
      </c>
      <c r="I115" s="29" t="s">
        <v>357</v>
      </c>
      <c r="J115" s="29" t="s">
        <v>359</v>
      </c>
      <c r="K115" s="38" t="s">
        <v>454</v>
      </c>
      <c r="L115" s="30"/>
      <c r="M115" s="37" t="s">
        <v>357</v>
      </c>
      <c r="N115" s="38" t="s">
        <v>357</v>
      </c>
      <c r="O115" s="38" t="s">
        <v>357</v>
      </c>
      <c r="P115" s="38" t="s">
        <v>357</v>
      </c>
      <c r="Q115" s="38" t="s">
        <v>542</v>
      </c>
      <c r="R115" s="38" t="str">
        <f t="shared" si="17"/>
        <v>INCLUDE</v>
      </c>
      <c r="S115" s="38"/>
      <c r="T115" s="30"/>
      <c r="U115" s="28" t="str">
        <f t="shared" si="12"/>
        <v/>
      </c>
      <c r="V115" s="29" t="b">
        <f t="shared" si="13"/>
        <v>0</v>
      </c>
      <c r="W115" s="29" t="str">
        <f t="shared" si="16"/>
        <v>INCLUDE</v>
      </c>
      <c r="X115" s="30"/>
    </row>
    <row r="116" spans="1:24" s="13" customFormat="1" ht="270" x14ac:dyDescent="0.25">
      <c r="A116" s="28">
        <v>108</v>
      </c>
      <c r="B116" s="38" t="s">
        <v>113</v>
      </c>
      <c r="C116" s="38" t="s">
        <v>289</v>
      </c>
      <c r="D116" s="30">
        <v>1</v>
      </c>
      <c r="E116" s="28" t="s">
        <v>357</v>
      </c>
      <c r="F116" s="29" t="s">
        <v>357</v>
      </c>
      <c r="G116" s="29" t="s">
        <v>357</v>
      </c>
      <c r="H116" s="29" t="s">
        <v>357</v>
      </c>
      <c r="I116" s="29" t="s">
        <v>357</v>
      </c>
      <c r="J116" s="29" t="s">
        <v>359</v>
      </c>
      <c r="K116" s="38" t="s">
        <v>455</v>
      </c>
      <c r="L116" s="30"/>
      <c r="M116" s="37" t="s">
        <v>357</v>
      </c>
      <c r="N116" s="38" t="s">
        <v>357</v>
      </c>
      <c r="O116" s="38" t="s">
        <v>357</v>
      </c>
      <c r="P116" s="38" t="s">
        <v>357</v>
      </c>
      <c r="Q116" s="38" t="s">
        <v>542</v>
      </c>
      <c r="R116" s="38" t="str">
        <f t="shared" si="17"/>
        <v>INCLUDE</v>
      </c>
      <c r="S116" s="38" t="s">
        <v>595</v>
      </c>
      <c r="T116" s="30"/>
      <c r="U116" s="28" t="str">
        <f t="shared" si="12"/>
        <v/>
      </c>
      <c r="V116" s="29" t="b">
        <f t="shared" si="13"/>
        <v>0</v>
      </c>
      <c r="W116" s="29" t="str">
        <f t="shared" si="16"/>
        <v>INCLUDE</v>
      </c>
      <c r="X116" s="30"/>
    </row>
    <row r="117" spans="1:24" s="13" customFormat="1" ht="210" x14ac:dyDescent="0.25">
      <c r="A117" s="28">
        <v>109</v>
      </c>
      <c r="B117" s="38" t="s">
        <v>114</v>
      </c>
      <c r="C117" s="38" t="s">
        <v>290</v>
      </c>
      <c r="D117" s="30">
        <v>1</v>
      </c>
      <c r="E117" s="28" t="s">
        <v>357</v>
      </c>
      <c r="F117" s="29" t="s">
        <v>357</v>
      </c>
      <c r="G117" s="29" t="s">
        <v>357</v>
      </c>
      <c r="H117" s="29" t="s">
        <v>357</v>
      </c>
      <c r="I117" s="29" t="s">
        <v>357</v>
      </c>
      <c r="J117" s="29" t="s">
        <v>359</v>
      </c>
      <c r="K117" s="38" t="s">
        <v>456</v>
      </c>
      <c r="L117" s="30"/>
      <c r="M117" s="37" t="s">
        <v>357</v>
      </c>
      <c r="N117" s="38" t="s">
        <v>357</v>
      </c>
      <c r="O117" s="38" t="s">
        <v>357</v>
      </c>
      <c r="P117" s="38" t="s">
        <v>357</v>
      </c>
      <c r="Q117" s="38" t="s">
        <v>542</v>
      </c>
      <c r="R117" s="38" t="str">
        <f t="shared" si="17"/>
        <v>INCLUDE</v>
      </c>
      <c r="S117" s="38" t="s">
        <v>596</v>
      </c>
      <c r="T117" s="30"/>
      <c r="U117" s="28" t="str">
        <f t="shared" si="12"/>
        <v/>
      </c>
      <c r="V117" s="29" t="b">
        <f t="shared" si="13"/>
        <v>0</v>
      </c>
      <c r="W117" s="29" t="str">
        <f t="shared" si="16"/>
        <v>INCLUDE</v>
      </c>
      <c r="X117" s="30"/>
    </row>
    <row r="118" spans="1:24" s="13" customFormat="1" ht="255" x14ac:dyDescent="0.25">
      <c r="A118" s="28">
        <v>110</v>
      </c>
      <c r="B118" s="38" t="s">
        <v>115</v>
      </c>
      <c r="C118" s="38" t="s">
        <v>291</v>
      </c>
      <c r="D118" s="30">
        <v>1</v>
      </c>
      <c r="E118" s="28" t="s">
        <v>357</v>
      </c>
      <c r="F118" s="29" t="s">
        <v>357</v>
      </c>
      <c r="G118" s="29" t="s">
        <v>357</v>
      </c>
      <c r="H118" s="29" t="s">
        <v>357</v>
      </c>
      <c r="I118" s="29" t="s">
        <v>357</v>
      </c>
      <c r="J118" s="29" t="s">
        <v>359</v>
      </c>
      <c r="K118" s="38" t="s">
        <v>457</v>
      </c>
      <c r="L118" s="30"/>
      <c r="M118" s="37" t="s">
        <v>357</v>
      </c>
      <c r="N118" s="38" t="s">
        <v>357</v>
      </c>
      <c r="O118" s="38" t="s">
        <v>357</v>
      </c>
      <c r="P118" s="38" t="s">
        <v>357</v>
      </c>
      <c r="Q118" s="38" t="s">
        <v>542</v>
      </c>
      <c r="R118" s="38" t="str">
        <f t="shared" si="17"/>
        <v>INCLUDE</v>
      </c>
      <c r="S118" s="38"/>
      <c r="T118" s="30"/>
      <c r="U118" s="28" t="str">
        <f t="shared" si="12"/>
        <v/>
      </c>
      <c r="V118" s="29" t="b">
        <f t="shared" si="13"/>
        <v>0</v>
      </c>
      <c r="W118" s="29" t="str">
        <f t="shared" si="16"/>
        <v>INCLUDE</v>
      </c>
      <c r="X118" s="30"/>
    </row>
    <row r="119" spans="1:24" s="13" customFormat="1" ht="195" x14ac:dyDescent="0.25">
      <c r="A119" s="28">
        <v>113</v>
      </c>
      <c r="B119" s="38" t="s">
        <v>117</v>
      </c>
      <c r="C119" s="38" t="s">
        <v>293</v>
      </c>
      <c r="D119" s="30">
        <v>1</v>
      </c>
      <c r="E119" s="28" t="s">
        <v>357</v>
      </c>
      <c r="F119" s="29" t="s">
        <v>357</v>
      </c>
      <c r="G119" s="29" t="s">
        <v>357</v>
      </c>
      <c r="H119" s="29" t="s">
        <v>357</v>
      </c>
      <c r="I119" s="29" t="s">
        <v>357</v>
      </c>
      <c r="J119" s="29" t="s">
        <v>359</v>
      </c>
      <c r="K119" s="38" t="s">
        <v>459</v>
      </c>
      <c r="L119" s="30"/>
      <c r="M119" s="37" t="s">
        <v>357</v>
      </c>
      <c r="N119" s="38" t="s">
        <v>357</v>
      </c>
      <c r="O119" s="38" t="s">
        <v>357</v>
      </c>
      <c r="P119" s="38" t="s">
        <v>357</v>
      </c>
      <c r="Q119" s="38" t="s">
        <v>542</v>
      </c>
      <c r="R119" s="38" t="str">
        <f t="shared" si="17"/>
        <v>INCLUDE</v>
      </c>
      <c r="S119" s="38"/>
      <c r="T119" s="30"/>
      <c r="U119" s="28" t="str">
        <f t="shared" si="12"/>
        <v/>
      </c>
      <c r="V119" s="29" t="b">
        <f t="shared" si="13"/>
        <v>0</v>
      </c>
      <c r="W119" s="29" t="str">
        <f t="shared" si="16"/>
        <v>INCLUDE</v>
      </c>
      <c r="X119" s="30"/>
    </row>
    <row r="120" spans="1:24" s="13" customFormat="1" ht="195" x14ac:dyDescent="0.25">
      <c r="A120" s="28">
        <v>115</v>
      </c>
      <c r="B120" s="38" t="s">
        <v>118</v>
      </c>
      <c r="C120" s="38" t="s">
        <v>294</v>
      </c>
      <c r="D120" s="30">
        <v>1</v>
      </c>
      <c r="E120" s="28" t="s">
        <v>357</v>
      </c>
      <c r="F120" s="29" t="s">
        <v>357</v>
      </c>
      <c r="G120" s="29" t="s">
        <v>357</v>
      </c>
      <c r="H120" s="29" t="s">
        <v>357</v>
      </c>
      <c r="I120" s="29" t="s">
        <v>357</v>
      </c>
      <c r="J120" s="29" t="s">
        <v>359</v>
      </c>
      <c r="K120" s="38" t="s">
        <v>460</v>
      </c>
      <c r="L120" s="30"/>
      <c r="M120" s="37" t="s">
        <v>357</v>
      </c>
      <c r="N120" s="38" t="s">
        <v>357</v>
      </c>
      <c r="O120" s="38" t="s">
        <v>357</v>
      </c>
      <c r="P120" s="38" t="s">
        <v>357</v>
      </c>
      <c r="Q120" s="38" t="s">
        <v>542</v>
      </c>
      <c r="R120" s="38" t="str">
        <f t="shared" si="17"/>
        <v>INCLUDE</v>
      </c>
      <c r="S120" s="38"/>
      <c r="T120" s="30"/>
      <c r="U120" s="28" t="str">
        <f t="shared" si="12"/>
        <v/>
      </c>
      <c r="V120" s="29" t="b">
        <f t="shared" si="13"/>
        <v>0</v>
      </c>
      <c r="W120" s="29" t="str">
        <f t="shared" si="16"/>
        <v>INCLUDE</v>
      </c>
      <c r="X120" s="30"/>
    </row>
    <row r="121" spans="1:24" s="13" customFormat="1" ht="300" x14ac:dyDescent="0.25">
      <c r="A121" s="28">
        <v>116</v>
      </c>
      <c r="B121" s="38" t="s">
        <v>119</v>
      </c>
      <c r="C121" s="38" t="s">
        <v>295</v>
      </c>
      <c r="D121" s="30">
        <v>1</v>
      </c>
      <c r="E121" s="28" t="s">
        <v>357</v>
      </c>
      <c r="F121" s="29" t="s">
        <v>357</v>
      </c>
      <c r="G121" s="29" t="s">
        <v>357</v>
      </c>
      <c r="H121" s="29" t="s">
        <v>357</v>
      </c>
      <c r="I121" s="29" t="s">
        <v>357</v>
      </c>
      <c r="J121" s="29" t="s">
        <v>359</v>
      </c>
      <c r="K121" s="38" t="s">
        <v>461</v>
      </c>
      <c r="L121" s="30"/>
      <c r="M121" s="37" t="s">
        <v>357</v>
      </c>
      <c r="N121" s="38" t="s">
        <v>357</v>
      </c>
      <c r="O121" s="38" t="s">
        <v>357</v>
      </c>
      <c r="P121" s="38" t="s">
        <v>357</v>
      </c>
      <c r="Q121" s="38" t="s">
        <v>542</v>
      </c>
      <c r="R121" s="38" t="str">
        <f t="shared" si="17"/>
        <v>INCLUDE</v>
      </c>
      <c r="S121" s="38"/>
      <c r="T121" s="30"/>
      <c r="U121" s="28" t="str">
        <f t="shared" si="12"/>
        <v/>
      </c>
      <c r="V121" s="29" t="b">
        <f t="shared" si="13"/>
        <v>0</v>
      </c>
      <c r="W121" s="29" t="str">
        <f t="shared" si="16"/>
        <v>INCLUDE</v>
      </c>
      <c r="X121" s="30"/>
    </row>
    <row r="122" spans="1:24" s="13" customFormat="1" ht="255" x14ac:dyDescent="0.25">
      <c r="A122" s="28">
        <v>117</v>
      </c>
      <c r="B122" s="38" t="s">
        <v>120</v>
      </c>
      <c r="C122" s="38" t="s">
        <v>296</v>
      </c>
      <c r="D122" s="30">
        <v>1</v>
      </c>
      <c r="E122" s="28" t="s">
        <v>357</v>
      </c>
      <c r="F122" s="29" t="s">
        <v>357</v>
      </c>
      <c r="G122" s="29" t="s">
        <v>357</v>
      </c>
      <c r="H122" s="29" t="s">
        <v>357</v>
      </c>
      <c r="I122" s="29" t="s">
        <v>357</v>
      </c>
      <c r="J122" s="29" t="s">
        <v>359</v>
      </c>
      <c r="K122" s="38" t="s">
        <v>462</v>
      </c>
      <c r="L122" s="30"/>
      <c r="M122" s="37" t="s">
        <v>357</v>
      </c>
      <c r="N122" s="38" t="s">
        <v>357</v>
      </c>
      <c r="O122" s="38" t="s">
        <v>357</v>
      </c>
      <c r="P122" s="38" t="s">
        <v>357</v>
      </c>
      <c r="Q122" s="38" t="s">
        <v>542</v>
      </c>
      <c r="R122" s="38" t="str">
        <f t="shared" si="17"/>
        <v>INCLUDE</v>
      </c>
      <c r="S122" s="38"/>
      <c r="T122" s="30"/>
      <c r="U122" s="28" t="str">
        <f t="shared" si="12"/>
        <v/>
      </c>
      <c r="V122" s="29" t="b">
        <f t="shared" si="13"/>
        <v>0</v>
      </c>
      <c r="W122" s="29" t="str">
        <f t="shared" si="16"/>
        <v>INCLUDE</v>
      </c>
      <c r="X122" s="30"/>
    </row>
    <row r="123" spans="1:24" s="13" customFormat="1" ht="270" x14ac:dyDescent="0.25">
      <c r="A123" s="28">
        <v>118</v>
      </c>
      <c r="B123" s="38" t="s">
        <v>121</v>
      </c>
      <c r="C123" s="38" t="s">
        <v>297</v>
      </c>
      <c r="D123" s="30">
        <v>1</v>
      </c>
      <c r="E123" s="28" t="s">
        <v>357</v>
      </c>
      <c r="F123" s="29" t="s">
        <v>357</v>
      </c>
      <c r="G123" s="29" t="s">
        <v>357</v>
      </c>
      <c r="H123" s="29" t="s">
        <v>357</v>
      </c>
      <c r="I123" s="29" t="s">
        <v>357</v>
      </c>
      <c r="J123" s="29" t="s">
        <v>359</v>
      </c>
      <c r="K123" s="38" t="s">
        <v>463</v>
      </c>
      <c r="L123" s="30"/>
      <c r="M123" s="37" t="s">
        <v>357</v>
      </c>
      <c r="N123" s="38" t="s">
        <v>357</v>
      </c>
      <c r="O123" s="38" t="s">
        <v>357</v>
      </c>
      <c r="P123" s="38" t="s">
        <v>357</v>
      </c>
      <c r="Q123" s="38" t="s">
        <v>542</v>
      </c>
      <c r="R123" s="38" t="str">
        <f t="shared" si="17"/>
        <v>INCLUDE</v>
      </c>
      <c r="S123" s="38"/>
      <c r="T123" s="30"/>
      <c r="U123" s="28" t="str">
        <f t="shared" si="12"/>
        <v/>
      </c>
      <c r="V123" s="29" t="b">
        <f t="shared" si="13"/>
        <v>0</v>
      </c>
      <c r="W123" s="29" t="str">
        <f t="shared" si="16"/>
        <v>INCLUDE</v>
      </c>
      <c r="X123" s="30"/>
    </row>
    <row r="124" spans="1:24" s="13" customFormat="1" ht="210" x14ac:dyDescent="0.25">
      <c r="A124" s="28">
        <v>119</v>
      </c>
      <c r="B124" s="38" t="s">
        <v>122</v>
      </c>
      <c r="C124" s="38" t="s">
        <v>298</v>
      </c>
      <c r="D124" s="30">
        <v>1</v>
      </c>
      <c r="E124" s="28" t="s">
        <v>357</v>
      </c>
      <c r="F124" s="29" t="s">
        <v>357</v>
      </c>
      <c r="G124" s="29" t="s">
        <v>357</v>
      </c>
      <c r="H124" s="29" t="s">
        <v>357</v>
      </c>
      <c r="I124" s="29" t="s">
        <v>357</v>
      </c>
      <c r="J124" s="29" t="s">
        <v>359</v>
      </c>
      <c r="K124" s="38" t="s">
        <v>464</v>
      </c>
      <c r="L124" s="30"/>
      <c r="M124" s="37" t="s">
        <v>357</v>
      </c>
      <c r="N124" s="38" t="s">
        <v>357</v>
      </c>
      <c r="O124" s="38" t="s">
        <v>357</v>
      </c>
      <c r="P124" s="38" t="s">
        <v>357</v>
      </c>
      <c r="Q124" s="38" t="s">
        <v>542</v>
      </c>
      <c r="R124" s="38" t="str">
        <f t="shared" si="17"/>
        <v>INCLUDE</v>
      </c>
      <c r="S124" s="38" t="s">
        <v>598</v>
      </c>
      <c r="T124" s="30"/>
      <c r="U124" s="28" t="str">
        <f t="shared" si="12"/>
        <v/>
      </c>
      <c r="V124" s="29" t="b">
        <f t="shared" si="13"/>
        <v>0</v>
      </c>
      <c r="W124" s="29" t="str">
        <f t="shared" si="16"/>
        <v>INCLUDE</v>
      </c>
      <c r="X124" s="30"/>
    </row>
    <row r="125" spans="1:24" s="13" customFormat="1" ht="180" x14ac:dyDescent="0.25">
      <c r="A125" s="28">
        <v>120</v>
      </c>
      <c r="B125" s="38" t="s">
        <v>123</v>
      </c>
      <c r="C125" s="38" t="s">
        <v>299</v>
      </c>
      <c r="D125" s="30">
        <v>1</v>
      </c>
      <c r="E125" s="28" t="s">
        <v>357</v>
      </c>
      <c r="F125" s="29" t="s">
        <v>357</v>
      </c>
      <c r="G125" s="29" t="s">
        <v>357</v>
      </c>
      <c r="H125" s="29" t="s">
        <v>357</v>
      </c>
      <c r="I125" s="29" t="s">
        <v>357</v>
      </c>
      <c r="J125" s="29" t="s">
        <v>359</v>
      </c>
      <c r="K125" s="38" t="s">
        <v>465</v>
      </c>
      <c r="L125" s="30"/>
      <c r="M125" s="37" t="s">
        <v>357</v>
      </c>
      <c r="N125" s="38" t="s">
        <v>357</v>
      </c>
      <c r="O125" s="38" t="s">
        <v>357</v>
      </c>
      <c r="P125" s="38" t="s">
        <v>357</v>
      </c>
      <c r="Q125" s="38" t="s">
        <v>542</v>
      </c>
      <c r="R125" s="38" t="str">
        <f t="shared" si="17"/>
        <v>INCLUDE</v>
      </c>
      <c r="S125" s="38"/>
      <c r="T125" s="30"/>
      <c r="U125" s="28" t="str">
        <f t="shared" si="12"/>
        <v/>
      </c>
      <c r="V125" s="29" t="b">
        <f t="shared" si="13"/>
        <v>0</v>
      </c>
      <c r="W125" s="29" t="str">
        <f t="shared" si="16"/>
        <v>INCLUDE</v>
      </c>
      <c r="X125" s="30"/>
    </row>
    <row r="126" spans="1:24" s="13" customFormat="1" ht="409.5" x14ac:dyDescent="0.25">
      <c r="A126" s="28">
        <v>121</v>
      </c>
      <c r="B126" s="38" t="s">
        <v>124</v>
      </c>
      <c r="C126" s="38" t="s">
        <v>300</v>
      </c>
      <c r="D126" s="30">
        <v>1</v>
      </c>
      <c r="E126" s="28" t="s">
        <v>357</v>
      </c>
      <c r="F126" s="29" t="s">
        <v>357</v>
      </c>
      <c r="G126" s="29" t="s">
        <v>357</v>
      </c>
      <c r="H126" s="29" t="s">
        <v>357</v>
      </c>
      <c r="I126" s="29" t="s">
        <v>357</v>
      </c>
      <c r="J126" s="29" t="s">
        <v>359</v>
      </c>
      <c r="K126" s="38" t="s">
        <v>466</v>
      </c>
      <c r="L126" s="30"/>
      <c r="M126" s="37" t="s">
        <v>357</v>
      </c>
      <c r="N126" s="38" t="s">
        <v>357</v>
      </c>
      <c r="O126" s="38" t="s">
        <v>357</v>
      </c>
      <c r="P126" s="38" t="s">
        <v>357</v>
      </c>
      <c r="Q126" s="38" t="s">
        <v>542</v>
      </c>
      <c r="R126" s="38" t="str">
        <f t="shared" si="17"/>
        <v>INCLUDE</v>
      </c>
      <c r="S126" s="38"/>
      <c r="T126" s="30"/>
      <c r="U126" s="28" t="str">
        <f t="shared" si="12"/>
        <v/>
      </c>
      <c r="V126" s="29" t="b">
        <f t="shared" si="13"/>
        <v>0</v>
      </c>
      <c r="W126" s="29" t="str">
        <f t="shared" si="16"/>
        <v>INCLUDE</v>
      </c>
      <c r="X126" s="30"/>
    </row>
    <row r="127" spans="1:24" s="13" customFormat="1" ht="315" x14ac:dyDescent="0.25">
      <c r="A127" s="28">
        <v>123</v>
      </c>
      <c r="B127" s="38" t="s">
        <v>126</v>
      </c>
      <c r="C127" s="38" t="s">
        <v>302</v>
      </c>
      <c r="D127" s="30">
        <v>1</v>
      </c>
      <c r="E127" s="28" t="s">
        <v>357</v>
      </c>
      <c r="F127" s="29" t="s">
        <v>357</v>
      </c>
      <c r="G127" s="29" t="s">
        <v>357</v>
      </c>
      <c r="H127" s="29" t="s">
        <v>357</v>
      </c>
      <c r="I127" s="29" t="s">
        <v>357</v>
      </c>
      <c r="J127" s="29" t="s">
        <v>359</v>
      </c>
      <c r="K127" s="38" t="s">
        <v>468</v>
      </c>
      <c r="L127" s="30"/>
      <c r="M127" s="37" t="s">
        <v>357</v>
      </c>
      <c r="N127" s="38" t="s">
        <v>357</v>
      </c>
      <c r="O127" s="38" t="s">
        <v>357</v>
      </c>
      <c r="P127" s="38" t="s">
        <v>357</v>
      </c>
      <c r="Q127" s="38" t="s">
        <v>542</v>
      </c>
      <c r="R127" s="38" t="str">
        <f t="shared" si="17"/>
        <v>INCLUDE</v>
      </c>
      <c r="S127" s="38"/>
      <c r="T127" s="30"/>
      <c r="U127" s="28" t="str">
        <f t="shared" si="12"/>
        <v/>
      </c>
      <c r="V127" s="29" t="b">
        <f t="shared" si="13"/>
        <v>0</v>
      </c>
      <c r="W127" s="29" t="str">
        <f t="shared" si="16"/>
        <v>INCLUDE</v>
      </c>
      <c r="X127" s="30"/>
    </row>
    <row r="128" spans="1:24" s="13" customFormat="1" ht="270" x14ac:dyDescent="0.25">
      <c r="A128" s="28">
        <v>124</v>
      </c>
      <c r="B128" s="38" t="s">
        <v>127</v>
      </c>
      <c r="C128" s="38" t="s">
        <v>303</v>
      </c>
      <c r="D128" s="30">
        <v>1</v>
      </c>
      <c r="E128" s="28" t="s">
        <v>357</v>
      </c>
      <c r="F128" s="29" t="s">
        <v>357</v>
      </c>
      <c r="G128" s="29" t="s">
        <v>357</v>
      </c>
      <c r="H128" s="29" t="s">
        <v>357</v>
      </c>
      <c r="I128" s="29" t="s">
        <v>357</v>
      </c>
      <c r="J128" s="29" t="s">
        <v>359</v>
      </c>
      <c r="K128" s="38" t="s">
        <v>469</v>
      </c>
      <c r="L128" s="30"/>
      <c r="M128" s="37" t="s">
        <v>357</v>
      </c>
      <c r="N128" s="38" t="s">
        <v>357</v>
      </c>
      <c r="O128" s="38" t="s">
        <v>357</v>
      </c>
      <c r="P128" s="38" t="s">
        <v>357</v>
      </c>
      <c r="Q128" s="38" t="s">
        <v>542</v>
      </c>
      <c r="R128" s="38" t="str">
        <f t="shared" si="17"/>
        <v>INCLUDE</v>
      </c>
      <c r="S128" s="38"/>
      <c r="T128" s="30"/>
      <c r="U128" s="28" t="str">
        <f t="shared" si="12"/>
        <v/>
      </c>
      <c r="V128" s="29" t="b">
        <f t="shared" si="13"/>
        <v>0</v>
      </c>
      <c r="W128" s="29" t="str">
        <f t="shared" si="16"/>
        <v>INCLUDE</v>
      </c>
      <c r="X128" s="30"/>
    </row>
    <row r="129" spans="1:24" s="13" customFormat="1" ht="300" x14ac:dyDescent="0.25">
      <c r="A129" s="28">
        <v>125</v>
      </c>
      <c r="B129" s="38" t="s">
        <v>128</v>
      </c>
      <c r="C129" s="38" t="s">
        <v>304</v>
      </c>
      <c r="D129" s="30">
        <v>1</v>
      </c>
      <c r="E129" s="28" t="s">
        <v>357</v>
      </c>
      <c r="F129" s="29" t="s">
        <v>357</v>
      </c>
      <c r="G129" s="29" t="s">
        <v>357</v>
      </c>
      <c r="H129" s="29" t="s">
        <v>357</v>
      </c>
      <c r="I129" s="29" t="s">
        <v>357</v>
      </c>
      <c r="J129" s="29" t="s">
        <v>359</v>
      </c>
      <c r="K129" s="38" t="s">
        <v>470</v>
      </c>
      <c r="L129" s="30"/>
      <c r="M129" s="37" t="s">
        <v>357</v>
      </c>
      <c r="N129" s="38" t="s">
        <v>357</v>
      </c>
      <c r="O129" s="38" t="s">
        <v>357</v>
      </c>
      <c r="P129" s="38" t="s">
        <v>357</v>
      </c>
      <c r="Q129" s="38" t="s">
        <v>542</v>
      </c>
      <c r="R129" s="38" t="str">
        <f t="shared" si="17"/>
        <v>INCLUDE</v>
      </c>
      <c r="S129" s="38"/>
      <c r="T129" s="30"/>
      <c r="U129" s="28" t="str">
        <f t="shared" si="12"/>
        <v/>
      </c>
      <c r="V129" s="29" t="b">
        <f t="shared" si="13"/>
        <v>0</v>
      </c>
      <c r="W129" s="29" t="str">
        <f t="shared" si="16"/>
        <v>INCLUDE</v>
      </c>
      <c r="X129" s="30"/>
    </row>
    <row r="130" spans="1:24" s="13" customFormat="1" ht="409.5" x14ac:dyDescent="0.25">
      <c r="A130" s="28">
        <v>126</v>
      </c>
      <c r="B130" s="38" t="s">
        <v>129</v>
      </c>
      <c r="C130" s="38" t="s">
        <v>305</v>
      </c>
      <c r="D130" s="30">
        <v>1</v>
      </c>
      <c r="E130" s="28" t="s">
        <v>357</v>
      </c>
      <c r="F130" s="29" t="s">
        <v>357</v>
      </c>
      <c r="G130" s="29" t="s">
        <v>357</v>
      </c>
      <c r="H130" s="29" t="s">
        <v>357</v>
      </c>
      <c r="I130" s="29" t="s">
        <v>357</v>
      </c>
      <c r="J130" s="29" t="s">
        <v>359</v>
      </c>
      <c r="K130" s="38" t="s">
        <v>471</v>
      </c>
      <c r="L130" s="30"/>
      <c r="M130" s="37" t="s">
        <v>357</v>
      </c>
      <c r="N130" s="38" t="s">
        <v>357</v>
      </c>
      <c r="O130" s="38" t="s">
        <v>357</v>
      </c>
      <c r="P130" s="38" t="s">
        <v>357</v>
      </c>
      <c r="Q130" s="38" t="s">
        <v>542</v>
      </c>
      <c r="R130" s="38" t="str">
        <f t="shared" si="17"/>
        <v>INCLUDE</v>
      </c>
      <c r="S130" s="38"/>
      <c r="T130" s="30"/>
      <c r="U130" s="28" t="str">
        <f t="shared" si="12"/>
        <v/>
      </c>
      <c r="V130" s="29" t="b">
        <f t="shared" si="13"/>
        <v>0</v>
      </c>
      <c r="W130" s="29" t="str">
        <f t="shared" si="16"/>
        <v>INCLUDE</v>
      </c>
      <c r="X130" s="30"/>
    </row>
    <row r="131" spans="1:24" s="13" customFormat="1" ht="240" x14ac:dyDescent="0.25">
      <c r="A131" s="28">
        <v>127</v>
      </c>
      <c r="B131" s="38" t="s">
        <v>130</v>
      </c>
      <c r="C131" s="38" t="s">
        <v>306</v>
      </c>
      <c r="D131" s="30">
        <v>1</v>
      </c>
      <c r="E131" s="28" t="s">
        <v>357</v>
      </c>
      <c r="F131" s="29" t="s">
        <v>357</v>
      </c>
      <c r="G131" s="29" t="s">
        <v>357</v>
      </c>
      <c r="H131" s="29" t="s">
        <v>357</v>
      </c>
      <c r="I131" s="29" t="s">
        <v>357</v>
      </c>
      <c r="J131" s="29" t="s">
        <v>359</v>
      </c>
      <c r="K131" s="38" t="s">
        <v>472</v>
      </c>
      <c r="L131" s="30"/>
      <c r="M131" s="37" t="s">
        <v>357</v>
      </c>
      <c r="N131" s="38" t="s">
        <v>357</v>
      </c>
      <c r="O131" s="38" t="s">
        <v>357</v>
      </c>
      <c r="P131" s="38" t="s">
        <v>357</v>
      </c>
      <c r="Q131" s="38" t="s">
        <v>542</v>
      </c>
      <c r="R131" s="38" t="str">
        <f t="shared" ref="R131:R162" si="18">IF(COUNTA(M131:Q131)=0,"",IF(COUNTIF(M131:Q131,"Yes")&gt;0,"EXCLUDE","INCLUDE"))</f>
        <v>INCLUDE</v>
      </c>
      <c r="S131" s="38"/>
      <c r="T131" s="30"/>
      <c r="U131" s="28" t="str">
        <f t="shared" si="12"/>
        <v/>
      </c>
      <c r="V131" s="29" t="b">
        <f t="shared" si="13"/>
        <v>0</v>
      </c>
      <c r="W131" s="29" t="str">
        <f t="shared" si="16"/>
        <v>INCLUDE</v>
      </c>
      <c r="X131" s="30"/>
    </row>
    <row r="132" spans="1:24" s="13" customFormat="1" ht="315" x14ac:dyDescent="0.25">
      <c r="A132" s="28">
        <v>128</v>
      </c>
      <c r="B132" s="38" t="s">
        <v>131</v>
      </c>
      <c r="C132" s="38" t="s">
        <v>307</v>
      </c>
      <c r="D132" s="30">
        <v>1</v>
      </c>
      <c r="E132" s="28" t="s">
        <v>357</v>
      </c>
      <c r="F132" s="29" t="s">
        <v>357</v>
      </c>
      <c r="G132" s="29" t="s">
        <v>357</v>
      </c>
      <c r="H132" s="29" t="s">
        <v>357</v>
      </c>
      <c r="I132" s="29" t="s">
        <v>357</v>
      </c>
      <c r="J132" s="29" t="s">
        <v>359</v>
      </c>
      <c r="K132" s="38" t="s">
        <v>473</v>
      </c>
      <c r="L132" s="30"/>
      <c r="M132" s="37" t="s">
        <v>357</v>
      </c>
      <c r="N132" s="38" t="s">
        <v>357</v>
      </c>
      <c r="O132" s="38" t="s">
        <v>357</v>
      </c>
      <c r="P132" s="38" t="s">
        <v>357</v>
      </c>
      <c r="Q132" s="38" t="s">
        <v>542</v>
      </c>
      <c r="R132" s="38" t="str">
        <f t="shared" si="18"/>
        <v>INCLUDE</v>
      </c>
      <c r="S132" s="38"/>
      <c r="T132" s="30"/>
      <c r="U132" s="28" t="str">
        <f t="shared" ref="U132:U178" si="19">IF(OR(T132=1,L132=1),1,"")</f>
        <v/>
      </c>
      <c r="V132" s="29" t="b">
        <f t="shared" ref="V132:V178" si="20">R132&lt;&gt;J132</f>
        <v>0</v>
      </c>
      <c r="W132" s="29" t="str">
        <f t="shared" si="16"/>
        <v>INCLUDE</v>
      </c>
      <c r="X132" s="30"/>
    </row>
    <row r="133" spans="1:24" s="13" customFormat="1" ht="195" x14ac:dyDescent="0.25">
      <c r="A133" s="28">
        <v>129</v>
      </c>
      <c r="B133" s="38" t="s">
        <v>132</v>
      </c>
      <c r="C133" s="38" t="s">
        <v>308</v>
      </c>
      <c r="D133" s="30">
        <v>1</v>
      </c>
      <c r="E133" s="28" t="s">
        <v>357</v>
      </c>
      <c r="F133" s="29" t="s">
        <v>357</v>
      </c>
      <c r="G133" s="29" t="s">
        <v>357</v>
      </c>
      <c r="H133" s="29" t="s">
        <v>357</v>
      </c>
      <c r="I133" s="29" t="s">
        <v>357</v>
      </c>
      <c r="J133" s="29" t="s">
        <v>359</v>
      </c>
      <c r="K133" s="38" t="s">
        <v>474</v>
      </c>
      <c r="L133" s="30"/>
      <c r="M133" s="37" t="s">
        <v>357</v>
      </c>
      <c r="N133" s="38" t="s">
        <v>357</v>
      </c>
      <c r="O133" s="38" t="s">
        <v>357</v>
      </c>
      <c r="P133" s="38" t="s">
        <v>357</v>
      </c>
      <c r="Q133" s="38" t="s">
        <v>542</v>
      </c>
      <c r="R133" s="38" t="str">
        <f t="shared" si="18"/>
        <v>INCLUDE</v>
      </c>
      <c r="S133" s="38"/>
      <c r="T133" s="30"/>
      <c r="U133" s="28" t="str">
        <f t="shared" si="19"/>
        <v/>
      </c>
      <c r="V133" s="29" t="b">
        <f t="shared" si="20"/>
        <v>0</v>
      </c>
      <c r="W133" s="29" t="str">
        <f t="shared" si="16"/>
        <v>INCLUDE</v>
      </c>
      <c r="X133" s="30"/>
    </row>
    <row r="134" spans="1:24" s="13" customFormat="1" ht="270" x14ac:dyDescent="0.25">
      <c r="A134" s="28">
        <v>130</v>
      </c>
      <c r="B134" s="38" t="s">
        <v>133</v>
      </c>
      <c r="C134" s="38" t="s">
        <v>309</v>
      </c>
      <c r="D134" s="30">
        <v>1</v>
      </c>
      <c r="E134" s="28" t="s">
        <v>357</v>
      </c>
      <c r="F134" s="29" t="s">
        <v>357</v>
      </c>
      <c r="G134" s="29" t="s">
        <v>357</v>
      </c>
      <c r="H134" s="29" t="s">
        <v>357</v>
      </c>
      <c r="I134" s="29" t="s">
        <v>357</v>
      </c>
      <c r="J134" s="29" t="s">
        <v>359</v>
      </c>
      <c r="K134" s="38" t="s">
        <v>475</v>
      </c>
      <c r="L134" s="30"/>
      <c r="M134" s="37" t="s">
        <v>357</v>
      </c>
      <c r="N134" s="38" t="s">
        <v>357</v>
      </c>
      <c r="O134" s="38" t="s">
        <v>357</v>
      </c>
      <c r="P134" s="38" t="s">
        <v>357</v>
      </c>
      <c r="Q134" s="38" t="s">
        <v>542</v>
      </c>
      <c r="R134" s="38" t="str">
        <f t="shared" si="18"/>
        <v>INCLUDE</v>
      </c>
      <c r="S134" s="38"/>
      <c r="T134" s="30"/>
      <c r="U134" s="28" t="str">
        <f t="shared" si="19"/>
        <v/>
      </c>
      <c r="V134" s="29" t="b">
        <f t="shared" si="20"/>
        <v>0</v>
      </c>
      <c r="W134" s="29" t="str">
        <f t="shared" si="16"/>
        <v>INCLUDE</v>
      </c>
      <c r="X134" s="30"/>
    </row>
    <row r="135" spans="1:24" s="13" customFormat="1" ht="240" x14ac:dyDescent="0.25">
      <c r="A135" s="28">
        <v>132</v>
      </c>
      <c r="B135" s="38" t="s">
        <v>135</v>
      </c>
      <c r="C135" s="38" t="s">
        <v>311</v>
      </c>
      <c r="D135" s="30">
        <v>1</v>
      </c>
      <c r="E135" s="28" t="s">
        <v>357</v>
      </c>
      <c r="F135" s="29" t="s">
        <v>357</v>
      </c>
      <c r="G135" s="29" t="s">
        <v>358</v>
      </c>
      <c r="H135" s="29" t="s">
        <v>357</v>
      </c>
      <c r="I135" s="29" t="s">
        <v>357</v>
      </c>
      <c r="J135" s="29" t="s">
        <v>360</v>
      </c>
      <c r="K135" s="38" t="s">
        <v>530</v>
      </c>
      <c r="L135" s="30"/>
      <c r="M135" s="37" t="s">
        <v>560</v>
      </c>
      <c r="N135" s="38" t="s">
        <v>560</v>
      </c>
      <c r="O135" s="38"/>
      <c r="P135" s="38"/>
      <c r="Q135" s="38"/>
      <c r="R135" s="38" t="str">
        <f t="shared" si="18"/>
        <v>EXCLUDE</v>
      </c>
      <c r="S135" s="38" t="s">
        <v>601</v>
      </c>
      <c r="T135" s="30"/>
      <c r="U135" s="28" t="str">
        <f t="shared" si="19"/>
        <v/>
      </c>
      <c r="V135" s="29" t="b">
        <f t="shared" si="20"/>
        <v>0</v>
      </c>
      <c r="W135" s="29" t="str">
        <f t="shared" si="16"/>
        <v>EXCLUDE</v>
      </c>
      <c r="X135" s="30"/>
    </row>
    <row r="136" spans="1:24" s="13" customFormat="1" ht="360" x14ac:dyDescent="0.25">
      <c r="A136" s="28">
        <v>133</v>
      </c>
      <c r="B136" s="38" t="s">
        <v>136</v>
      </c>
      <c r="C136" s="38" t="s">
        <v>312</v>
      </c>
      <c r="D136" s="30">
        <v>1</v>
      </c>
      <c r="E136" s="28" t="s">
        <v>357</v>
      </c>
      <c r="F136" s="29" t="s">
        <v>357</v>
      </c>
      <c r="G136" s="29" t="s">
        <v>357</v>
      </c>
      <c r="H136" s="29" t="s">
        <v>357</v>
      </c>
      <c r="I136" s="29" t="s">
        <v>357</v>
      </c>
      <c r="J136" s="29" t="s">
        <v>359</v>
      </c>
      <c r="K136" s="38" t="s">
        <v>531</v>
      </c>
      <c r="L136" s="30">
        <v>1</v>
      </c>
      <c r="M136" s="37" t="s">
        <v>357</v>
      </c>
      <c r="N136" s="38" t="s">
        <v>357</v>
      </c>
      <c r="O136" s="38" t="s">
        <v>357</v>
      </c>
      <c r="P136" s="38" t="s">
        <v>357</v>
      </c>
      <c r="Q136" s="38" t="s">
        <v>542</v>
      </c>
      <c r="R136" s="38" t="str">
        <f t="shared" si="18"/>
        <v>INCLUDE</v>
      </c>
      <c r="S136" s="38"/>
      <c r="T136" s="30"/>
      <c r="U136" s="28">
        <f t="shared" si="19"/>
        <v>1</v>
      </c>
      <c r="V136" s="29" t="b">
        <f t="shared" si="20"/>
        <v>0</v>
      </c>
      <c r="W136" s="29" t="str">
        <f t="shared" si="16"/>
        <v>INCLUDE</v>
      </c>
      <c r="X136" s="30"/>
    </row>
    <row r="137" spans="1:24" s="13" customFormat="1" ht="255" x14ac:dyDescent="0.25">
      <c r="A137" s="28">
        <v>134</v>
      </c>
      <c r="B137" s="38" t="s">
        <v>137</v>
      </c>
      <c r="C137" s="38" t="s">
        <v>313</v>
      </c>
      <c r="D137" s="30">
        <v>1</v>
      </c>
      <c r="E137" s="28" t="s">
        <v>357</v>
      </c>
      <c r="F137" s="29" t="s">
        <v>357</v>
      </c>
      <c r="G137" s="29" t="s">
        <v>357</v>
      </c>
      <c r="H137" s="29" t="s">
        <v>357</v>
      </c>
      <c r="I137" s="29" t="s">
        <v>357</v>
      </c>
      <c r="J137" s="29" t="s">
        <v>359</v>
      </c>
      <c r="K137" s="38" t="s">
        <v>477</v>
      </c>
      <c r="L137" s="30"/>
      <c r="M137" s="37" t="s">
        <v>357</v>
      </c>
      <c r="N137" s="38" t="s">
        <v>357</v>
      </c>
      <c r="O137" s="38" t="s">
        <v>357</v>
      </c>
      <c r="P137" s="38" t="s">
        <v>357</v>
      </c>
      <c r="Q137" s="38" t="s">
        <v>542</v>
      </c>
      <c r="R137" s="38" t="str">
        <f t="shared" si="18"/>
        <v>INCLUDE</v>
      </c>
      <c r="S137" s="38"/>
      <c r="T137" s="30"/>
      <c r="U137" s="28" t="str">
        <f t="shared" si="19"/>
        <v/>
      </c>
      <c r="V137" s="29" t="b">
        <f t="shared" si="20"/>
        <v>0</v>
      </c>
      <c r="W137" s="29" t="str">
        <f t="shared" si="16"/>
        <v>INCLUDE</v>
      </c>
      <c r="X137" s="30"/>
    </row>
    <row r="138" spans="1:24" s="13" customFormat="1" ht="150" x14ac:dyDescent="0.25">
      <c r="A138" s="28">
        <v>135</v>
      </c>
      <c r="B138" s="38" t="s">
        <v>138</v>
      </c>
      <c r="C138" s="38" t="s">
        <v>314</v>
      </c>
      <c r="D138" s="30">
        <v>1</v>
      </c>
      <c r="E138" s="28" t="s">
        <v>357</v>
      </c>
      <c r="F138" s="29" t="s">
        <v>357</v>
      </c>
      <c r="G138" s="29" t="s">
        <v>357</v>
      </c>
      <c r="H138" s="29" t="s">
        <v>357</v>
      </c>
      <c r="I138" s="29" t="s">
        <v>358</v>
      </c>
      <c r="J138" s="29" t="s">
        <v>360</v>
      </c>
      <c r="K138" s="38" t="s">
        <v>518</v>
      </c>
      <c r="L138" s="30"/>
      <c r="M138" s="37" t="s">
        <v>602</v>
      </c>
      <c r="N138" s="38" t="s">
        <v>602</v>
      </c>
      <c r="O138" s="38" t="s">
        <v>602</v>
      </c>
      <c r="P138" s="38" t="s">
        <v>357</v>
      </c>
      <c r="Q138" s="38" t="s">
        <v>560</v>
      </c>
      <c r="R138" s="38" t="str">
        <f t="shared" si="18"/>
        <v>EXCLUDE</v>
      </c>
      <c r="S138" s="38" t="s">
        <v>603</v>
      </c>
      <c r="T138" s="30"/>
      <c r="U138" s="28" t="str">
        <f t="shared" si="19"/>
        <v/>
      </c>
      <c r="V138" s="29" t="b">
        <f t="shared" si="20"/>
        <v>0</v>
      </c>
      <c r="W138" s="29" t="str">
        <f t="shared" si="16"/>
        <v>EXCLUDE</v>
      </c>
      <c r="X138" s="30"/>
    </row>
    <row r="139" spans="1:24" s="13" customFormat="1" ht="270" x14ac:dyDescent="0.25">
      <c r="A139" s="28">
        <v>136</v>
      </c>
      <c r="B139" s="38" t="s">
        <v>139</v>
      </c>
      <c r="C139" s="38" t="s">
        <v>315</v>
      </c>
      <c r="D139" s="30">
        <v>1</v>
      </c>
      <c r="E139" s="28" t="s">
        <v>357</v>
      </c>
      <c r="F139" s="29" t="s">
        <v>357</v>
      </c>
      <c r="G139" s="29" t="s">
        <v>357</v>
      </c>
      <c r="H139" s="29" t="s">
        <v>357</v>
      </c>
      <c r="I139" s="29" t="s">
        <v>357</v>
      </c>
      <c r="J139" s="29" t="s">
        <v>359</v>
      </c>
      <c r="K139" s="38" t="s">
        <v>478</v>
      </c>
      <c r="L139" s="30"/>
      <c r="M139" s="37" t="s">
        <v>357</v>
      </c>
      <c r="N139" s="38" t="s">
        <v>357</v>
      </c>
      <c r="O139" s="38" t="s">
        <v>357</v>
      </c>
      <c r="P139" s="38" t="s">
        <v>357</v>
      </c>
      <c r="Q139" s="38" t="s">
        <v>542</v>
      </c>
      <c r="R139" s="38" t="str">
        <f t="shared" si="18"/>
        <v>INCLUDE</v>
      </c>
      <c r="S139" s="38"/>
      <c r="T139" s="30"/>
      <c r="U139" s="28" t="str">
        <f t="shared" si="19"/>
        <v/>
      </c>
      <c r="V139" s="29" t="b">
        <f t="shared" si="20"/>
        <v>0</v>
      </c>
      <c r="W139" s="29" t="str">
        <f t="shared" si="16"/>
        <v>INCLUDE</v>
      </c>
      <c r="X139" s="30"/>
    </row>
    <row r="140" spans="1:24" s="13" customFormat="1" ht="225" x14ac:dyDescent="0.25">
      <c r="A140" s="28">
        <v>137</v>
      </c>
      <c r="B140" s="38" t="s">
        <v>140</v>
      </c>
      <c r="C140" s="38" t="s">
        <v>316</v>
      </c>
      <c r="D140" s="30">
        <v>1</v>
      </c>
      <c r="E140" s="28" t="s">
        <v>357</v>
      </c>
      <c r="F140" s="29" t="s">
        <v>357</v>
      </c>
      <c r="G140" s="29" t="s">
        <v>357</v>
      </c>
      <c r="H140" s="29" t="s">
        <v>357</v>
      </c>
      <c r="I140" s="29" t="s">
        <v>357</v>
      </c>
      <c r="J140" s="29" t="s">
        <v>359</v>
      </c>
      <c r="K140" s="38" t="s">
        <v>479</v>
      </c>
      <c r="L140" s="30"/>
      <c r="M140" s="37" t="s">
        <v>357</v>
      </c>
      <c r="N140" s="38" t="s">
        <v>357</v>
      </c>
      <c r="O140" s="38" t="s">
        <v>357</v>
      </c>
      <c r="P140" s="38" t="s">
        <v>357</v>
      </c>
      <c r="Q140" s="38" t="s">
        <v>542</v>
      </c>
      <c r="R140" s="38" t="str">
        <f t="shared" si="18"/>
        <v>INCLUDE</v>
      </c>
      <c r="S140" s="38"/>
      <c r="T140" s="30"/>
      <c r="U140" s="28" t="str">
        <f t="shared" si="19"/>
        <v/>
      </c>
      <c r="V140" s="29" t="b">
        <f t="shared" si="20"/>
        <v>0</v>
      </c>
      <c r="W140" s="29" t="str">
        <f t="shared" si="16"/>
        <v>INCLUDE</v>
      </c>
      <c r="X140" s="30"/>
    </row>
    <row r="141" spans="1:24" s="13" customFormat="1" ht="75" x14ac:dyDescent="0.25">
      <c r="A141" s="28">
        <v>139</v>
      </c>
      <c r="B141" s="38" t="s">
        <v>142</v>
      </c>
      <c r="C141" s="38"/>
      <c r="D141" s="30">
        <v>1</v>
      </c>
      <c r="E141" s="28" t="s">
        <v>357</v>
      </c>
      <c r="F141" s="29" t="s">
        <v>357</v>
      </c>
      <c r="G141" s="29" t="s">
        <v>357</v>
      </c>
      <c r="H141" s="29" t="s">
        <v>357</v>
      </c>
      <c r="I141" s="29" t="s">
        <v>357</v>
      </c>
      <c r="J141" s="29" t="s">
        <v>359</v>
      </c>
      <c r="K141" s="38" t="s">
        <v>361</v>
      </c>
      <c r="L141" s="30"/>
      <c r="M141" s="37"/>
      <c r="N141" s="38"/>
      <c r="O141" s="38"/>
      <c r="P141" s="38"/>
      <c r="Q141" s="38"/>
      <c r="R141" s="38" t="s">
        <v>359</v>
      </c>
      <c r="S141" s="38"/>
      <c r="T141" s="30"/>
      <c r="U141" s="28" t="str">
        <f t="shared" si="19"/>
        <v/>
      </c>
      <c r="V141" s="29" t="b">
        <f t="shared" si="20"/>
        <v>0</v>
      </c>
      <c r="W141" s="29" t="str">
        <f t="shared" si="16"/>
        <v>INCLUDE</v>
      </c>
      <c r="X141" s="30"/>
    </row>
    <row r="142" spans="1:24" s="13" customFormat="1" ht="409.5" x14ac:dyDescent="0.25">
      <c r="A142" s="28">
        <v>140</v>
      </c>
      <c r="B142" s="38" t="s">
        <v>143</v>
      </c>
      <c r="C142" s="38" t="s">
        <v>318</v>
      </c>
      <c r="D142" s="30">
        <v>1</v>
      </c>
      <c r="E142" s="28" t="s">
        <v>358</v>
      </c>
      <c r="F142" s="29" t="s">
        <v>357</v>
      </c>
      <c r="G142" s="29" t="s">
        <v>357</v>
      </c>
      <c r="H142" s="29" t="s">
        <v>357</v>
      </c>
      <c r="I142" s="29" t="s">
        <v>357</v>
      </c>
      <c r="J142" s="29" t="s">
        <v>360</v>
      </c>
      <c r="K142" s="38" t="s">
        <v>519</v>
      </c>
      <c r="L142" s="30"/>
      <c r="M142" s="37" t="s">
        <v>560</v>
      </c>
      <c r="N142" s="38"/>
      <c r="O142" s="38"/>
      <c r="P142" s="38"/>
      <c r="Q142" s="38"/>
      <c r="R142" s="38" t="str">
        <f>IF(COUNTA(M142:Q142)=0,"",IF(COUNTIF(M142:Q142,"Yes")&gt;0,"EXCLUDE","INCLUDE"))</f>
        <v>EXCLUDE</v>
      </c>
      <c r="S142" s="38" t="s">
        <v>605</v>
      </c>
      <c r="T142" s="30"/>
      <c r="U142" s="28" t="str">
        <f t="shared" si="19"/>
        <v/>
      </c>
      <c r="V142" s="29" t="b">
        <f t="shared" si="20"/>
        <v>0</v>
      </c>
      <c r="W142" s="29" t="str">
        <f t="shared" si="16"/>
        <v>EXCLUDE</v>
      </c>
      <c r="X142" s="30"/>
    </row>
    <row r="143" spans="1:24" s="13" customFormat="1" ht="270" x14ac:dyDescent="0.25">
      <c r="A143" s="28">
        <v>142</v>
      </c>
      <c r="B143" s="38" t="s">
        <v>145</v>
      </c>
      <c r="C143" s="38" t="s">
        <v>320</v>
      </c>
      <c r="D143" s="30">
        <v>1</v>
      </c>
      <c r="E143" s="28" t="s">
        <v>357</v>
      </c>
      <c r="F143" s="29" t="s">
        <v>357</v>
      </c>
      <c r="G143" s="29" t="s">
        <v>357</v>
      </c>
      <c r="H143" s="29" t="s">
        <v>357</v>
      </c>
      <c r="I143" s="29" t="s">
        <v>357</v>
      </c>
      <c r="J143" s="29" t="s">
        <v>359</v>
      </c>
      <c r="K143" s="38" t="s">
        <v>481</v>
      </c>
      <c r="L143" s="30"/>
      <c r="M143" s="37" t="s">
        <v>357</v>
      </c>
      <c r="N143" s="38" t="s">
        <v>357</v>
      </c>
      <c r="O143" s="38" t="s">
        <v>357</v>
      </c>
      <c r="P143" s="38" t="s">
        <v>357</v>
      </c>
      <c r="Q143" s="38" t="s">
        <v>542</v>
      </c>
      <c r="R143" s="38" t="str">
        <f>IF(COUNTA(M143:Q143)=0,"",IF(COUNTIF(M143:Q143,"Yes")&gt;0,"EXCLUDE","INCLUDE"))</f>
        <v>INCLUDE</v>
      </c>
      <c r="S143" s="38"/>
      <c r="T143" s="30"/>
      <c r="U143" s="28" t="str">
        <f t="shared" si="19"/>
        <v/>
      </c>
      <c r="V143" s="29" t="b">
        <f t="shared" si="20"/>
        <v>0</v>
      </c>
      <c r="W143" s="29" t="str">
        <f t="shared" si="16"/>
        <v>INCLUDE</v>
      </c>
      <c r="X143" s="30"/>
    </row>
    <row r="144" spans="1:24" s="13" customFormat="1" ht="210" x14ac:dyDescent="0.25">
      <c r="A144" s="28">
        <v>143</v>
      </c>
      <c r="B144" s="38" t="s">
        <v>146</v>
      </c>
      <c r="C144" s="38" t="s">
        <v>321</v>
      </c>
      <c r="D144" s="30">
        <v>1</v>
      </c>
      <c r="E144" s="28" t="s">
        <v>357</v>
      </c>
      <c r="F144" s="29" t="s">
        <v>357</v>
      </c>
      <c r="G144" s="29" t="s">
        <v>357</v>
      </c>
      <c r="H144" s="29" t="s">
        <v>357</v>
      </c>
      <c r="I144" s="29" t="s">
        <v>357</v>
      </c>
      <c r="J144" s="29" t="s">
        <v>359</v>
      </c>
      <c r="K144" s="38" t="s">
        <v>482</v>
      </c>
      <c r="L144" s="30"/>
      <c r="M144" s="37" t="s">
        <v>357</v>
      </c>
      <c r="N144" s="38" t="s">
        <v>357</v>
      </c>
      <c r="O144" s="38" t="s">
        <v>357</v>
      </c>
      <c r="P144" s="38" t="s">
        <v>357</v>
      </c>
      <c r="Q144" s="38" t="s">
        <v>542</v>
      </c>
      <c r="R144" s="38" t="str">
        <f>IF(COUNTA(M144:Q144)=0,"",IF(COUNTIF(M144:Q144,"Yes")&gt;0,"EXCLUDE","INCLUDE"))</f>
        <v>INCLUDE</v>
      </c>
      <c r="S144" s="38"/>
      <c r="T144" s="30"/>
      <c r="U144" s="28" t="str">
        <f t="shared" si="19"/>
        <v/>
      </c>
      <c r="V144" s="29" t="b">
        <f t="shared" si="20"/>
        <v>0</v>
      </c>
      <c r="W144" s="29" t="str">
        <f t="shared" si="16"/>
        <v>INCLUDE</v>
      </c>
      <c r="X144" s="30"/>
    </row>
    <row r="145" spans="1:24" s="13" customFormat="1" ht="75" x14ac:dyDescent="0.25">
      <c r="A145" s="28">
        <v>144</v>
      </c>
      <c r="B145" s="38" t="s">
        <v>147</v>
      </c>
      <c r="C145" s="38"/>
      <c r="D145" s="30">
        <v>1</v>
      </c>
      <c r="E145" s="28" t="s">
        <v>357</v>
      </c>
      <c r="F145" s="29" t="s">
        <v>357</v>
      </c>
      <c r="G145" s="29" t="s">
        <v>357</v>
      </c>
      <c r="H145" s="29" t="s">
        <v>357</v>
      </c>
      <c r="I145" s="29" t="s">
        <v>357</v>
      </c>
      <c r="J145" s="29" t="s">
        <v>359</v>
      </c>
      <c r="K145" s="38" t="s">
        <v>362</v>
      </c>
      <c r="L145" s="30"/>
      <c r="M145" s="37"/>
      <c r="N145" s="38"/>
      <c r="O145" s="38"/>
      <c r="P145" s="38"/>
      <c r="Q145" s="38"/>
      <c r="R145" s="38" t="s">
        <v>359</v>
      </c>
      <c r="S145" s="38"/>
      <c r="T145" s="30"/>
      <c r="U145" s="28" t="str">
        <f t="shared" si="19"/>
        <v/>
      </c>
      <c r="V145" s="29" t="b">
        <f t="shared" si="20"/>
        <v>0</v>
      </c>
      <c r="W145" s="29" t="str">
        <f t="shared" si="16"/>
        <v>INCLUDE</v>
      </c>
      <c r="X145" s="30"/>
    </row>
    <row r="146" spans="1:24" s="13" customFormat="1" ht="240" x14ac:dyDescent="0.25">
      <c r="A146" s="28">
        <v>146</v>
      </c>
      <c r="B146" s="38" t="s">
        <v>148</v>
      </c>
      <c r="C146" s="38" t="s">
        <v>322</v>
      </c>
      <c r="D146" s="30">
        <v>1</v>
      </c>
      <c r="E146" s="28" t="s">
        <v>357</v>
      </c>
      <c r="F146" s="29" t="s">
        <v>357</v>
      </c>
      <c r="G146" s="29" t="s">
        <v>357</v>
      </c>
      <c r="H146" s="29" t="s">
        <v>357</v>
      </c>
      <c r="I146" s="29" t="s">
        <v>357</v>
      </c>
      <c r="J146" s="29" t="s">
        <v>359</v>
      </c>
      <c r="K146" s="38" t="s">
        <v>483</v>
      </c>
      <c r="L146" s="30"/>
      <c r="M146" s="37" t="s">
        <v>357</v>
      </c>
      <c r="N146" s="38" t="s">
        <v>357</v>
      </c>
      <c r="O146" s="38" t="s">
        <v>357</v>
      </c>
      <c r="P146" s="38" t="s">
        <v>357</v>
      </c>
      <c r="Q146" s="38" t="s">
        <v>542</v>
      </c>
      <c r="R146" s="38" t="str">
        <f>IF(COUNTA(M146:Q146)=0,"",IF(COUNTIF(M146:Q146,"Yes")&gt;0,"EXCLUDE","INCLUDE"))</f>
        <v>INCLUDE</v>
      </c>
      <c r="S146" s="38"/>
      <c r="T146" s="30"/>
      <c r="U146" s="28" t="str">
        <f t="shared" si="19"/>
        <v/>
      </c>
      <c r="V146" s="29" t="b">
        <f t="shared" si="20"/>
        <v>0</v>
      </c>
      <c r="W146" s="29" t="str">
        <f t="shared" si="16"/>
        <v>INCLUDE</v>
      </c>
      <c r="X146" s="30"/>
    </row>
    <row r="147" spans="1:24" s="13" customFormat="1" ht="390" x14ac:dyDescent="0.25">
      <c r="A147" s="28">
        <v>147</v>
      </c>
      <c r="B147" s="38" t="s">
        <v>149</v>
      </c>
      <c r="C147" s="38" t="s">
        <v>323</v>
      </c>
      <c r="D147" s="30">
        <v>1</v>
      </c>
      <c r="E147" s="28" t="s">
        <v>357</v>
      </c>
      <c r="F147" s="29" t="s">
        <v>357</v>
      </c>
      <c r="G147" s="29" t="s">
        <v>357</v>
      </c>
      <c r="H147" s="29" t="s">
        <v>357</v>
      </c>
      <c r="I147" s="29" t="s">
        <v>357</v>
      </c>
      <c r="J147" s="29" t="s">
        <v>359</v>
      </c>
      <c r="K147" s="38" t="s">
        <v>484</v>
      </c>
      <c r="L147" s="30"/>
      <c r="M147" s="37" t="s">
        <v>357</v>
      </c>
      <c r="N147" s="38" t="s">
        <v>357</v>
      </c>
      <c r="O147" s="38" t="s">
        <v>357</v>
      </c>
      <c r="P147" s="38" t="s">
        <v>357</v>
      </c>
      <c r="Q147" s="38" t="s">
        <v>542</v>
      </c>
      <c r="R147" s="38" t="str">
        <f>IF(COUNTA(M147:Q147)=0,"",IF(COUNTIF(M147:Q147,"Yes")&gt;0,"EXCLUDE","INCLUDE"))</f>
        <v>INCLUDE</v>
      </c>
      <c r="S147" s="38"/>
      <c r="T147" s="30"/>
      <c r="U147" s="28" t="str">
        <f t="shared" si="19"/>
        <v/>
      </c>
      <c r="V147" s="29" t="b">
        <f t="shared" si="20"/>
        <v>0</v>
      </c>
      <c r="W147" s="29" t="str">
        <f t="shared" si="16"/>
        <v>INCLUDE</v>
      </c>
      <c r="X147" s="30"/>
    </row>
    <row r="148" spans="1:24" s="13" customFormat="1" ht="330" x14ac:dyDescent="0.25">
      <c r="A148" s="28">
        <v>148</v>
      </c>
      <c r="B148" s="38" t="s">
        <v>150</v>
      </c>
      <c r="C148" s="38" t="s">
        <v>324</v>
      </c>
      <c r="D148" s="30">
        <v>1</v>
      </c>
      <c r="E148" s="28" t="s">
        <v>357</v>
      </c>
      <c r="F148" s="29" t="s">
        <v>357</v>
      </c>
      <c r="G148" s="29" t="s">
        <v>357</v>
      </c>
      <c r="H148" s="29" t="s">
        <v>357</v>
      </c>
      <c r="I148" s="29" t="s">
        <v>357</v>
      </c>
      <c r="J148" s="29" t="s">
        <v>359</v>
      </c>
      <c r="K148" s="38" t="s">
        <v>485</v>
      </c>
      <c r="L148" s="30"/>
      <c r="M148" s="37" t="s">
        <v>357</v>
      </c>
      <c r="N148" s="38" t="s">
        <v>357</v>
      </c>
      <c r="O148" s="38" t="s">
        <v>560</v>
      </c>
      <c r="P148" s="38" t="s">
        <v>357</v>
      </c>
      <c r="Q148" s="38" t="s">
        <v>560</v>
      </c>
      <c r="R148" s="38" t="str">
        <f>IF(COUNTA(M148:Q148)=0,"",IF(COUNTIF(M148:Q148,"Yes")&gt;0,"EXCLUDE","INCLUDE"))</f>
        <v>EXCLUDE</v>
      </c>
      <c r="S148" s="38" t="s">
        <v>607</v>
      </c>
      <c r="T148" s="30"/>
      <c r="U148" s="28" t="str">
        <f t="shared" si="19"/>
        <v/>
      </c>
      <c r="V148" s="29" t="b">
        <f t="shared" si="20"/>
        <v>1</v>
      </c>
      <c r="W148" s="29" t="s">
        <v>359</v>
      </c>
      <c r="X148" s="31" t="s">
        <v>628</v>
      </c>
    </row>
    <row r="149" spans="1:24" s="13" customFormat="1" ht="255" x14ac:dyDescent="0.25">
      <c r="A149" s="28">
        <v>149</v>
      </c>
      <c r="B149" s="38" t="s">
        <v>151</v>
      </c>
      <c r="C149" s="38" t="s">
        <v>325</v>
      </c>
      <c r="D149" s="30">
        <v>1</v>
      </c>
      <c r="E149" s="28" t="s">
        <v>357</v>
      </c>
      <c r="F149" s="29" t="s">
        <v>357</v>
      </c>
      <c r="G149" s="29" t="s">
        <v>357</v>
      </c>
      <c r="H149" s="29" t="s">
        <v>357</v>
      </c>
      <c r="I149" s="29" t="s">
        <v>357</v>
      </c>
      <c r="J149" s="29" t="s">
        <v>359</v>
      </c>
      <c r="K149" s="38" t="s">
        <v>486</v>
      </c>
      <c r="L149" s="30"/>
      <c r="M149" s="37" t="s">
        <v>357</v>
      </c>
      <c r="N149" s="38" t="s">
        <v>357</v>
      </c>
      <c r="O149" s="38" t="s">
        <v>357</v>
      </c>
      <c r="P149" s="38" t="s">
        <v>357</v>
      </c>
      <c r="Q149" s="38" t="s">
        <v>542</v>
      </c>
      <c r="R149" s="38" t="str">
        <f>IF(COUNTA(M149:Q149)=0,"",IF(COUNTIF(M149:Q149,"Yes")&gt;0,"EXCLUDE","INCLUDE"))</f>
        <v>INCLUDE</v>
      </c>
      <c r="S149" s="38"/>
      <c r="T149" s="30"/>
      <c r="U149" s="28" t="str">
        <f t="shared" si="19"/>
        <v/>
      </c>
      <c r="V149" s="29" t="b">
        <f t="shared" si="20"/>
        <v>0</v>
      </c>
      <c r="W149" s="29" t="str">
        <f t="shared" ref="W149:W154" si="21">J149</f>
        <v>INCLUDE</v>
      </c>
      <c r="X149" s="30"/>
    </row>
    <row r="150" spans="1:24" s="13" customFormat="1" ht="135" x14ac:dyDescent="0.25">
      <c r="A150" s="28">
        <v>152</v>
      </c>
      <c r="B150" s="38" t="s">
        <v>153</v>
      </c>
      <c r="C150" s="38" t="s">
        <v>327</v>
      </c>
      <c r="D150" s="30">
        <v>1</v>
      </c>
      <c r="E150" s="28" t="s">
        <v>357</v>
      </c>
      <c r="F150" s="29" t="s">
        <v>357</v>
      </c>
      <c r="G150" s="29" t="s">
        <v>357</v>
      </c>
      <c r="H150" s="29" t="s">
        <v>357</v>
      </c>
      <c r="I150" s="29" t="s">
        <v>357</v>
      </c>
      <c r="J150" s="29" t="s">
        <v>359</v>
      </c>
      <c r="K150" s="38" t="s">
        <v>487</v>
      </c>
      <c r="L150" s="30"/>
      <c r="M150" s="37" t="s">
        <v>357</v>
      </c>
      <c r="N150" s="38" t="s">
        <v>357</v>
      </c>
      <c r="O150" s="38" t="s">
        <v>357</v>
      </c>
      <c r="P150" s="38" t="s">
        <v>357</v>
      </c>
      <c r="Q150" s="38" t="s">
        <v>542</v>
      </c>
      <c r="R150" s="38" t="str">
        <f>IF(COUNTA(M150:Q150)=0,"",IF(COUNTIF(M150:Q150,"Yes")&gt;0,"EXCLUDE","INCLUDE"))</f>
        <v>INCLUDE</v>
      </c>
      <c r="S150" s="38"/>
      <c r="T150" s="30"/>
      <c r="U150" s="28" t="str">
        <f t="shared" si="19"/>
        <v/>
      </c>
      <c r="V150" s="29" t="b">
        <f t="shared" si="20"/>
        <v>0</v>
      </c>
      <c r="W150" s="29" t="str">
        <f t="shared" si="21"/>
        <v>INCLUDE</v>
      </c>
      <c r="X150" s="30"/>
    </row>
    <row r="151" spans="1:24" s="13" customFormat="1" ht="90" x14ac:dyDescent="0.25">
      <c r="A151" s="28">
        <v>153</v>
      </c>
      <c r="B151" s="38" t="s">
        <v>154</v>
      </c>
      <c r="C151" s="38"/>
      <c r="D151" s="30">
        <v>1</v>
      </c>
      <c r="E151" s="28" t="s">
        <v>357</v>
      </c>
      <c r="F151" s="29" t="s">
        <v>357</v>
      </c>
      <c r="G151" s="29" t="s">
        <v>357</v>
      </c>
      <c r="H151" s="29" t="s">
        <v>357</v>
      </c>
      <c r="I151" s="29" t="s">
        <v>357</v>
      </c>
      <c r="J151" s="29" t="s">
        <v>359</v>
      </c>
      <c r="K151" s="38" t="s">
        <v>363</v>
      </c>
      <c r="L151" s="30"/>
      <c r="M151" s="37"/>
      <c r="N151" s="38"/>
      <c r="O151" s="38"/>
      <c r="P151" s="38"/>
      <c r="Q151" s="38"/>
      <c r="R151" s="38" t="s">
        <v>359</v>
      </c>
      <c r="S151" s="38"/>
      <c r="T151" s="30"/>
      <c r="U151" s="28" t="str">
        <f t="shared" si="19"/>
        <v/>
      </c>
      <c r="V151" s="29" t="b">
        <f t="shared" si="20"/>
        <v>0</v>
      </c>
      <c r="W151" s="29" t="str">
        <f t="shared" si="21"/>
        <v>INCLUDE</v>
      </c>
      <c r="X151" s="30"/>
    </row>
    <row r="152" spans="1:24" s="13" customFormat="1" ht="300" x14ac:dyDescent="0.25">
      <c r="A152" s="28">
        <v>155</v>
      </c>
      <c r="B152" s="38" t="s">
        <v>155</v>
      </c>
      <c r="C152" s="38" t="s">
        <v>328</v>
      </c>
      <c r="D152" s="30">
        <v>1</v>
      </c>
      <c r="E152" s="28" t="s">
        <v>357</v>
      </c>
      <c r="F152" s="29" t="s">
        <v>357</v>
      </c>
      <c r="G152" s="29" t="s">
        <v>357</v>
      </c>
      <c r="H152" s="29" t="s">
        <v>357</v>
      </c>
      <c r="I152" s="29" t="s">
        <v>357</v>
      </c>
      <c r="J152" s="29" t="s">
        <v>359</v>
      </c>
      <c r="K152" s="38" t="s">
        <v>488</v>
      </c>
      <c r="L152" s="30"/>
      <c r="M152" s="37" t="s">
        <v>357</v>
      </c>
      <c r="N152" s="38" t="s">
        <v>357</v>
      </c>
      <c r="O152" s="38" t="s">
        <v>357</v>
      </c>
      <c r="P152" s="38" t="s">
        <v>357</v>
      </c>
      <c r="Q152" s="38" t="s">
        <v>542</v>
      </c>
      <c r="R152" s="38" t="str">
        <f>IF(COUNTA(M152:Q152)=0,"",IF(COUNTIF(M152:Q152,"Yes")&gt;0,"EXCLUDE","INCLUDE"))</f>
        <v>INCLUDE</v>
      </c>
      <c r="S152" s="38"/>
      <c r="T152" s="30"/>
      <c r="U152" s="28" t="str">
        <f t="shared" si="19"/>
        <v/>
      </c>
      <c r="V152" s="29" t="b">
        <f t="shared" si="20"/>
        <v>0</v>
      </c>
      <c r="W152" s="29" t="str">
        <f t="shared" si="21"/>
        <v>INCLUDE</v>
      </c>
      <c r="X152" s="30"/>
    </row>
    <row r="153" spans="1:24" s="13" customFormat="1" ht="285" x14ac:dyDescent="0.25">
      <c r="A153" s="28">
        <v>156</v>
      </c>
      <c r="B153" s="38" t="s">
        <v>156</v>
      </c>
      <c r="C153" s="38" t="s">
        <v>329</v>
      </c>
      <c r="D153" s="30">
        <v>1</v>
      </c>
      <c r="E153" s="28" t="s">
        <v>357</v>
      </c>
      <c r="F153" s="29" t="s">
        <v>357</v>
      </c>
      <c r="G153" s="29" t="s">
        <v>357</v>
      </c>
      <c r="H153" s="29" t="s">
        <v>357</v>
      </c>
      <c r="I153" s="29" t="s">
        <v>357</v>
      </c>
      <c r="J153" s="29" t="s">
        <v>359</v>
      </c>
      <c r="K153" s="38" t="s">
        <v>489</v>
      </c>
      <c r="L153" s="30"/>
      <c r="M153" s="37" t="s">
        <v>357</v>
      </c>
      <c r="N153" s="38" t="s">
        <v>357</v>
      </c>
      <c r="O153" s="38" t="s">
        <v>357</v>
      </c>
      <c r="P153" s="38" t="s">
        <v>357</v>
      </c>
      <c r="Q153" s="38" t="s">
        <v>542</v>
      </c>
      <c r="R153" s="38" t="str">
        <f>IF(COUNTA(M153:Q153)=0,"",IF(COUNTIF(M153:Q153,"Yes")&gt;0,"EXCLUDE","INCLUDE"))</f>
        <v>INCLUDE</v>
      </c>
      <c r="S153" s="38"/>
      <c r="T153" s="30"/>
      <c r="U153" s="28" t="str">
        <f t="shared" si="19"/>
        <v/>
      </c>
      <c r="V153" s="29" t="b">
        <f t="shared" si="20"/>
        <v>0</v>
      </c>
      <c r="W153" s="29" t="str">
        <f t="shared" si="21"/>
        <v>INCLUDE</v>
      </c>
      <c r="X153" s="30"/>
    </row>
    <row r="154" spans="1:24" s="13" customFormat="1" ht="285" x14ac:dyDescent="0.25">
      <c r="A154" s="28">
        <v>158</v>
      </c>
      <c r="B154" s="38" t="s">
        <v>158</v>
      </c>
      <c r="C154" s="38" t="s">
        <v>331</v>
      </c>
      <c r="D154" s="30">
        <v>1</v>
      </c>
      <c r="E154" s="28" t="s">
        <v>358</v>
      </c>
      <c r="F154" s="29" t="s">
        <v>357</v>
      </c>
      <c r="G154" s="29" t="s">
        <v>357</v>
      </c>
      <c r="H154" s="29" t="s">
        <v>357</v>
      </c>
      <c r="I154" s="29" t="s">
        <v>357</v>
      </c>
      <c r="J154" s="29" t="s">
        <v>360</v>
      </c>
      <c r="K154" s="38" t="s">
        <v>520</v>
      </c>
      <c r="L154" s="30"/>
      <c r="M154" s="37" t="s">
        <v>560</v>
      </c>
      <c r="N154" s="38"/>
      <c r="O154" s="38"/>
      <c r="P154" s="38"/>
      <c r="Q154" s="38"/>
      <c r="R154" s="38" t="str">
        <f>IF(COUNTA(M154:Q154)=0,"",IF(COUNTIF(M154:Q154,"Yes")&gt;0,"EXCLUDE","INCLUDE"))</f>
        <v>EXCLUDE</v>
      </c>
      <c r="S154" s="38" t="s">
        <v>610</v>
      </c>
      <c r="T154" s="30"/>
      <c r="U154" s="28" t="str">
        <f t="shared" si="19"/>
        <v/>
      </c>
      <c r="V154" s="29" t="b">
        <f t="shared" si="20"/>
        <v>0</v>
      </c>
      <c r="W154" s="29" t="str">
        <f t="shared" si="21"/>
        <v>EXCLUDE</v>
      </c>
      <c r="X154" s="30"/>
    </row>
    <row r="155" spans="1:24" s="13" customFormat="1" ht="45" x14ac:dyDescent="0.25">
      <c r="A155" s="28">
        <v>159</v>
      </c>
      <c r="B155" s="38" t="s">
        <v>159</v>
      </c>
      <c r="C155" s="38"/>
      <c r="D155" s="30">
        <v>1</v>
      </c>
      <c r="E155" s="28" t="s">
        <v>357</v>
      </c>
      <c r="F155" s="29" t="s">
        <v>357</v>
      </c>
      <c r="G155" s="29" t="s">
        <v>357</v>
      </c>
      <c r="H155" s="29" t="s">
        <v>357</v>
      </c>
      <c r="I155" s="29" t="s">
        <v>358</v>
      </c>
      <c r="J155" s="29" t="s">
        <v>360</v>
      </c>
      <c r="K155" s="38" t="s">
        <v>539</v>
      </c>
      <c r="L155" s="30"/>
      <c r="M155" s="37"/>
      <c r="N155" s="38"/>
      <c r="O155" s="38"/>
      <c r="P155" s="38"/>
      <c r="Q155" s="38"/>
      <c r="R155" s="38" t="s">
        <v>359</v>
      </c>
      <c r="S155" s="38"/>
      <c r="T155" s="30"/>
      <c r="U155" s="28" t="str">
        <f t="shared" si="19"/>
        <v/>
      </c>
      <c r="V155" s="29" t="b">
        <f t="shared" si="20"/>
        <v>1</v>
      </c>
      <c r="W155" s="29" t="s">
        <v>360</v>
      </c>
      <c r="X155" s="31" t="s">
        <v>539</v>
      </c>
    </row>
    <row r="156" spans="1:24" s="13" customFormat="1" ht="90" x14ac:dyDescent="0.25">
      <c r="A156" s="28">
        <v>160</v>
      </c>
      <c r="B156" s="38" t="s">
        <v>160</v>
      </c>
      <c r="C156" s="38"/>
      <c r="D156" s="30">
        <v>1</v>
      </c>
      <c r="E156" s="28" t="s">
        <v>357</v>
      </c>
      <c r="F156" s="29" t="s">
        <v>357</v>
      </c>
      <c r="G156" s="29" t="s">
        <v>357</v>
      </c>
      <c r="H156" s="29" t="s">
        <v>357</v>
      </c>
      <c r="I156" s="29" t="s">
        <v>357</v>
      </c>
      <c r="J156" s="29" t="s">
        <v>359</v>
      </c>
      <c r="K156" s="38" t="s">
        <v>364</v>
      </c>
      <c r="L156" s="30"/>
      <c r="M156" s="37"/>
      <c r="N156" s="38"/>
      <c r="O156" s="38"/>
      <c r="P156" s="38"/>
      <c r="Q156" s="38"/>
      <c r="R156" s="38" t="s">
        <v>359</v>
      </c>
      <c r="S156" s="38"/>
      <c r="T156" s="30"/>
      <c r="U156" s="28" t="str">
        <f t="shared" si="19"/>
        <v/>
      </c>
      <c r="V156" s="29" t="b">
        <f t="shared" si="20"/>
        <v>0</v>
      </c>
      <c r="W156" s="29" t="str">
        <f t="shared" ref="W156:W178" si="22">J156</f>
        <v>INCLUDE</v>
      </c>
      <c r="X156" s="30"/>
    </row>
    <row r="157" spans="1:24" s="13" customFormat="1" ht="270" x14ac:dyDescent="0.25">
      <c r="A157" s="28">
        <v>161</v>
      </c>
      <c r="B157" s="38" t="s">
        <v>161</v>
      </c>
      <c r="C157" s="38" t="s">
        <v>332</v>
      </c>
      <c r="D157" s="30">
        <v>1</v>
      </c>
      <c r="E157" s="28" t="s">
        <v>357</v>
      </c>
      <c r="F157" s="29" t="s">
        <v>357</v>
      </c>
      <c r="G157" s="29" t="s">
        <v>357</v>
      </c>
      <c r="H157" s="29" t="s">
        <v>357</v>
      </c>
      <c r="I157" s="29" t="s">
        <v>357</v>
      </c>
      <c r="J157" s="29" t="s">
        <v>359</v>
      </c>
      <c r="K157" s="38" t="s">
        <v>491</v>
      </c>
      <c r="L157" s="30"/>
      <c r="M157" s="37" t="s">
        <v>357</v>
      </c>
      <c r="N157" s="38" t="s">
        <v>357</v>
      </c>
      <c r="O157" s="38" t="s">
        <v>357</v>
      </c>
      <c r="P157" s="38" t="s">
        <v>357</v>
      </c>
      <c r="Q157" s="38" t="s">
        <v>542</v>
      </c>
      <c r="R157" s="38" t="str">
        <f t="shared" ref="R157:R178" si="23">IF(COUNTA(M157:Q157)=0,"",IF(COUNTIF(M157:Q157,"Yes")&gt;0,"EXCLUDE","INCLUDE"))</f>
        <v>INCLUDE</v>
      </c>
      <c r="S157" s="38"/>
      <c r="T157" s="30"/>
      <c r="U157" s="28" t="str">
        <f t="shared" si="19"/>
        <v/>
      </c>
      <c r="V157" s="29" t="b">
        <f t="shared" si="20"/>
        <v>0</v>
      </c>
      <c r="W157" s="29" t="str">
        <f t="shared" si="22"/>
        <v>INCLUDE</v>
      </c>
      <c r="X157" s="30"/>
    </row>
    <row r="158" spans="1:24" s="13" customFormat="1" ht="120" x14ac:dyDescent="0.25">
      <c r="A158" s="28">
        <v>165</v>
      </c>
      <c r="B158" s="38" t="s">
        <v>162</v>
      </c>
      <c r="C158" s="38" t="s">
        <v>333</v>
      </c>
      <c r="D158" s="30">
        <v>1</v>
      </c>
      <c r="E158" s="28" t="s">
        <v>357</v>
      </c>
      <c r="F158" s="29" t="s">
        <v>357</v>
      </c>
      <c r="G158" s="29" t="s">
        <v>357</v>
      </c>
      <c r="H158" s="29" t="s">
        <v>357</v>
      </c>
      <c r="I158" s="29" t="s">
        <v>357</v>
      </c>
      <c r="J158" s="29" t="s">
        <v>359</v>
      </c>
      <c r="K158" s="38" t="s">
        <v>492</v>
      </c>
      <c r="L158" s="30"/>
      <c r="M158" s="37" t="s">
        <v>357</v>
      </c>
      <c r="N158" s="38" t="s">
        <v>357</v>
      </c>
      <c r="O158" s="38" t="s">
        <v>357</v>
      </c>
      <c r="P158" s="38" t="s">
        <v>357</v>
      </c>
      <c r="Q158" s="38" t="s">
        <v>542</v>
      </c>
      <c r="R158" s="38" t="str">
        <f t="shared" si="23"/>
        <v>INCLUDE</v>
      </c>
      <c r="S158" s="38"/>
      <c r="T158" s="30"/>
      <c r="U158" s="28" t="str">
        <f t="shared" si="19"/>
        <v/>
      </c>
      <c r="V158" s="29" t="b">
        <f t="shared" si="20"/>
        <v>0</v>
      </c>
      <c r="W158" s="29" t="str">
        <f t="shared" si="22"/>
        <v>INCLUDE</v>
      </c>
      <c r="X158" s="30"/>
    </row>
    <row r="159" spans="1:24" s="13" customFormat="1" ht="120" x14ac:dyDescent="0.25">
      <c r="A159" s="28">
        <v>167</v>
      </c>
      <c r="B159" s="38" t="s">
        <v>164</v>
      </c>
      <c r="C159" s="38" t="s">
        <v>335</v>
      </c>
      <c r="D159" s="30">
        <v>1</v>
      </c>
      <c r="E159" s="28" t="s">
        <v>357</v>
      </c>
      <c r="F159" s="29" t="s">
        <v>357</v>
      </c>
      <c r="G159" s="29" t="s">
        <v>357</v>
      </c>
      <c r="H159" s="29" t="s">
        <v>357</v>
      </c>
      <c r="I159" s="29" t="s">
        <v>357</v>
      </c>
      <c r="J159" s="29" t="s">
        <v>359</v>
      </c>
      <c r="K159" s="38" t="s">
        <v>494</v>
      </c>
      <c r="L159" s="30"/>
      <c r="M159" s="37" t="s">
        <v>357</v>
      </c>
      <c r="N159" s="38" t="s">
        <v>357</v>
      </c>
      <c r="O159" s="38" t="s">
        <v>357</v>
      </c>
      <c r="P159" s="38" t="s">
        <v>357</v>
      </c>
      <c r="Q159" s="38" t="s">
        <v>542</v>
      </c>
      <c r="R159" s="38" t="str">
        <f t="shared" si="23"/>
        <v>INCLUDE</v>
      </c>
      <c r="S159" s="38" t="s">
        <v>612</v>
      </c>
      <c r="T159" s="30"/>
      <c r="U159" s="28" t="str">
        <f t="shared" si="19"/>
        <v/>
      </c>
      <c r="V159" s="29" t="b">
        <f t="shared" si="20"/>
        <v>0</v>
      </c>
      <c r="W159" s="29" t="str">
        <f t="shared" si="22"/>
        <v>INCLUDE</v>
      </c>
      <c r="X159" s="30"/>
    </row>
    <row r="160" spans="1:24" s="13" customFormat="1" ht="150" x14ac:dyDescent="0.25">
      <c r="A160" s="28">
        <v>168</v>
      </c>
      <c r="B160" s="38" t="s">
        <v>165</v>
      </c>
      <c r="C160" s="38" t="s">
        <v>336</v>
      </c>
      <c r="D160" s="30">
        <v>1</v>
      </c>
      <c r="E160" s="28" t="s">
        <v>357</v>
      </c>
      <c r="F160" s="29" t="s">
        <v>357</v>
      </c>
      <c r="G160" s="29" t="s">
        <v>357</v>
      </c>
      <c r="H160" s="29" t="s">
        <v>357</v>
      </c>
      <c r="I160" s="29" t="s">
        <v>357</v>
      </c>
      <c r="J160" s="29" t="s">
        <v>359</v>
      </c>
      <c r="K160" s="38" t="s">
        <v>495</v>
      </c>
      <c r="L160" s="30"/>
      <c r="M160" s="37" t="s">
        <v>357</v>
      </c>
      <c r="N160" s="38" t="s">
        <v>357</v>
      </c>
      <c r="O160" s="38" t="s">
        <v>357</v>
      </c>
      <c r="P160" s="38" t="s">
        <v>357</v>
      </c>
      <c r="Q160" s="38" t="s">
        <v>542</v>
      </c>
      <c r="R160" s="38" t="str">
        <f t="shared" si="23"/>
        <v>INCLUDE</v>
      </c>
      <c r="S160" s="38"/>
      <c r="T160" s="30"/>
      <c r="U160" s="28" t="str">
        <f t="shared" si="19"/>
        <v/>
      </c>
      <c r="V160" s="29" t="b">
        <f t="shared" si="20"/>
        <v>0</v>
      </c>
      <c r="W160" s="29" t="str">
        <f t="shared" si="22"/>
        <v>INCLUDE</v>
      </c>
      <c r="X160" s="30"/>
    </row>
    <row r="161" spans="1:24" s="13" customFormat="1" ht="195" x14ac:dyDescent="0.25">
      <c r="A161" s="28">
        <v>170</v>
      </c>
      <c r="B161" s="38" t="s">
        <v>166</v>
      </c>
      <c r="C161" s="38" t="s">
        <v>337</v>
      </c>
      <c r="D161" s="30">
        <v>1</v>
      </c>
      <c r="E161" s="28" t="s">
        <v>357</v>
      </c>
      <c r="F161" s="29" t="s">
        <v>357</v>
      </c>
      <c r="G161" s="29" t="s">
        <v>357</v>
      </c>
      <c r="H161" s="29" t="s">
        <v>357</v>
      </c>
      <c r="I161" s="29" t="s">
        <v>357</v>
      </c>
      <c r="J161" s="29" t="s">
        <v>359</v>
      </c>
      <c r="K161" s="38" t="s">
        <v>496</v>
      </c>
      <c r="L161" s="30"/>
      <c r="M161" s="37" t="s">
        <v>357</v>
      </c>
      <c r="N161" s="38" t="s">
        <v>357</v>
      </c>
      <c r="O161" s="38" t="s">
        <v>357</v>
      </c>
      <c r="P161" s="38" t="s">
        <v>357</v>
      </c>
      <c r="Q161" s="38" t="s">
        <v>542</v>
      </c>
      <c r="R161" s="38" t="str">
        <f t="shared" si="23"/>
        <v>INCLUDE</v>
      </c>
      <c r="S161" s="38"/>
      <c r="T161" s="30"/>
      <c r="U161" s="28" t="str">
        <f t="shared" si="19"/>
        <v/>
      </c>
      <c r="V161" s="29" t="b">
        <f t="shared" si="20"/>
        <v>0</v>
      </c>
      <c r="W161" s="29" t="str">
        <f t="shared" si="22"/>
        <v>INCLUDE</v>
      </c>
      <c r="X161" s="30"/>
    </row>
    <row r="162" spans="1:24" s="13" customFormat="1" ht="90" x14ac:dyDescent="0.25">
      <c r="A162" s="28">
        <v>172</v>
      </c>
      <c r="B162" s="38" t="s">
        <v>168</v>
      </c>
      <c r="C162" s="38" t="s">
        <v>339</v>
      </c>
      <c r="D162" s="30">
        <v>1</v>
      </c>
      <c r="E162" s="28" t="s">
        <v>357</v>
      </c>
      <c r="F162" s="29" t="s">
        <v>357</v>
      </c>
      <c r="G162" s="29" t="s">
        <v>357</v>
      </c>
      <c r="H162" s="29" t="s">
        <v>357</v>
      </c>
      <c r="I162" s="29" t="s">
        <v>357</v>
      </c>
      <c r="J162" s="29" t="s">
        <v>359</v>
      </c>
      <c r="K162" s="38" t="s">
        <v>498</v>
      </c>
      <c r="L162" s="30"/>
      <c r="M162" s="37" t="s">
        <v>357</v>
      </c>
      <c r="N162" s="38" t="s">
        <v>357</v>
      </c>
      <c r="O162" s="38" t="s">
        <v>357</v>
      </c>
      <c r="P162" s="38" t="s">
        <v>357</v>
      </c>
      <c r="Q162" s="38" t="s">
        <v>542</v>
      </c>
      <c r="R162" s="38" t="str">
        <f t="shared" si="23"/>
        <v>INCLUDE</v>
      </c>
      <c r="S162" s="38"/>
      <c r="T162" s="30"/>
      <c r="U162" s="28" t="str">
        <f t="shared" si="19"/>
        <v/>
      </c>
      <c r="V162" s="29" t="b">
        <f t="shared" si="20"/>
        <v>0</v>
      </c>
      <c r="W162" s="29" t="str">
        <f t="shared" si="22"/>
        <v>INCLUDE</v>
      </c>
      <c r="X162" s="30"/>
    </row>
    <row r="163" spans="1:24" s="13" customFormat="1" ht="165" x14ac:dyDescent="0.25">
      <c r="A163" s="28">
        <v>173</v>
      </c>
      <c r="B163" s="38" t="s">
        <v>169</v>
      </c>
      <c r="C163" s="38" t="s">
        <v>340</v>
      </c>
      <c r="D163" s="30">
        <v>1</v>
      </c>
      <c r="E163" s="28" t="s">
        <v>357</v>
      </c>
      <c r="F163" s="29" t="s">
        <v>357</v>
      </c>
      <c r="G163" s="29" t="s">
        <v>357</v>
      </c>
      <c r="H163" s="29" t="s">
        <v>357</v>
      </c>
      <c r="I163" s="29" t="s">
        <v>357</v>
      </c>
      <c r="J163" s="29" t="s">
        <v>359</v>
      </c>
      <c r="K163" s="48" t="s">
        <v>499</v>
      </c>
      <c r="L163" s="30"/>
      <c r="M163" s="37" t="s">
        <v>357</v>
      </c>
      <c r="N163" s="38" t="s">
        <v>357</v>
      </c>
      <c r="O163" s="38" t="s">
        <v>357</v>
      </c>
      <c r="P163" s="38" t="s">
        <v>357</v>
      </c>
      <c r="Q163" s="38" t="s">
        <v>542</v>
      </c>
      <c r="R163" s="38" t="str">
        <f t="shared" si="23"/>
        <v>INCLUDE</v>
      </c>
      <c r="S163" s="38" t="s">
        <v>614</v>
      </c>
      <c r="T163" s="30"/>
      <c r="U163" s="28" t="str">
        <f t="shared" si="19"/>
        <v/>
      </c>
      <c r="V163" s="29" t="b">
        <f t="shared" si="20"/>
        <v>0</v>
      </c>
      <c r="W163" s="29" t="str">
        <f t="shared" si="22"/>
        <v>INCLUDE</v>
      </c>
      <c r="X163" s="30"/>
    </row>
    <row r="164" spans="1:24" s="13" customFormat="1" ht="120" x14ac:dyDescent="0.25">
      <c r="A164" s="28">
        <v>174</v>
      </c>
      <c r="B164" s="38" t="s">
        <v>170</v>
      </c>
      <c r="C164" s="38" t="s">
        <v>341</v>
      </c>
      <c r="D164" s="30">
        <v>1</v>
      </c>
      <c r="E164" s="28" t="s">
        <v>357</v>
      </c>
      <c r="F164" s="29" t="s">
        <v>357</v>
      </c>
      <c r="G164" s="29" t="s">
        <v>357</v>
      </c>
      <c r="H164" s="29" t="s">
        <v>357</v>
      </c>
      <c r="I164" s="29" t="s">
        <v>357</v>
      </c>
      <c r="J164" s="29" t="s">
        <v>359</v>
      </c>
      <c r="K164" s="38" t="s">
        <v>500</v>
      </c>
      <c r="L164" s="30"/>
      <c r="M164" s="37" t="s">
        <v>357</v>
      </c>
      <c r="N164" s="38" t="s">
        <v>357</v>
      </c>
      <c r="O164" s="38" t="s">
        <v>357</v>
      </c>
      <c r="P164" s="38" t="s">
        <v>357</v>
      </c>
      <c r="Q164" s="38" t="s">
        <v>542</v>
      </c>
      <c r="R164" s="38" t="str">
        <f t="shared" si="23"/>
        <v>INCLUDE</v>
      </c>
      <c r="S164" s="38"/>
      <c r="T164" s="30"/>
      <c r="U164" s="28" t="str">
        <f t="shared" si="19"/>
        <v/>
      </c>
      <c r="V164" s="29" t="b">
        <f t="shared" si="20"/>
        <v>0</v>
      </c>
      <c r="W164" s="29" t="str">
        <f t="shared" si="22"/>
        <v>INCLUDE</v>
      </c>
      <c r="X164" s="30"/>
    </row>
    <row r="165" spans="1:24" s="13" customFormat="1" ht="165" x14ac:dyDescent="0.25">
      <c r="A165" s="28">
        <v>175</v>
      </c>
      <c r="B165" s="38" t="s">
        <v>171</v>
      </c>
      <c r="C165" s="38" t="s">
        <v>342</v>
      </c>
      <c r="D165" s="30">
        <v>1</v>
      </c>
      <c r="E165" s="28" t="s">
        <v>357</v>
      </c>
      <c r="F165" s="29" t="s">
        <v>357</v>
      </c>
      <c r="G165" s="29" t="s">
        <v>357</v>
      </c>
      <c r="H165" s="29" t="s">
        <v>357</v>
      </c>
      <c r="I165" s="29" t="s">
        <v>357</v>
      </c>
      <c r="J165" s="29" t="s">
        <v>359</v>
      </c>
      <c r="K165" s="38" t="s">
        <v>501</v>
      </c>
      <c r="L165" s="30"/>
      <c r="M165" s="37" t="s">
        <v>357</v>
      </c>
      <c r="N165" s="38" t="s">
        <v>357</v>
      </c>
      <c r="O165" s="38" t="s">
        <v>357</v>
      </c>
      <c r="P165" s="38" t="s">
        <v>357</v>
      </c>
      <c r="Q165" s="38" t="s">
        <v>542</v>
      </c>
      <c r="R165" s="38" t="str">
        <f t="shared" si="23"/>
        <v>INCLUDE</v>
      </c>
      <c r="S165" s="38" t="s">
        <v>615</v>
      </c>
      <c r="T165" s="30"/>
      <c r="U165" s="28" t="str">
        <f t="shared" si="19"/>
        <v/>
      </c>
      <c r="V165" s="29" t="b">
        <f t="shared" si="20"/>
        <v>0</v>
      </c>
      <c r="W165" s="29" t="str">
        <f t="shared" si="22"/>
        <v>INCLUDE</v>
      </c>
      <c r="X165" s="30"/>
    </row>
    <row r="166" spans="1:24" s="13" customFormat="1" ht="195" x14ac:dyDescent="0.25">
      <c r="A166" s="28">
        <v>176</v>
      </c>
      <c r="B166" s="38" t="s">
        <v>172</v>
      </c>
      <c r="C166" s="38" t="s">
        <v>343</v>
      </c>
      <c r="D166" s="30">
        <v>1</v>
      </c>
      <c r="E166" s="28" t="s">
        <v>357</v>
      </c>
      <c r="F166" s="29" t="s">
        <v>357</v>
      </c>
      <c r="G166" s="29" t="s">
        <v>357</v>
      </c>
      <c r="H166" s="29" t="s">
        <v>357</v>
      </c>
      <c r="I166" s="29" t="s">
        <v>357</v>
      </c>
      <c r="J166" s="29" t="s">
        <v>359</v>
      </c>
      <c r="K166" s="38" t="s">
        <v>502</v>
      </c>
      <c r="L166" s="30"/>
      <c r="M166" s="37" t="s">
        <v>357</v>
      </c>
      <c r="N166" s="38" t="s">
        <v>357</v>
      </c>
      <c r="O166" s="38" t="s">
        <v>357</v>
      </c>
      <c r="P166" s="38" t="s">
        <v>357</v>
      </c>
      <c r="Q166" s="38" t="s">
        <v>542</v>
      </c>
      <c r="R166" s="38" t="str">
        <f t="shared" si="23"/>
        <v>INCLUDE</v>
      </c>
      <c r="S166" s="38"/>
      <c r="T166" s="30"/>
      <c r="U166" s="28" t="str">
        <f t="shared" si="19"/>
        <v/>
      </c>
      <c r="V166" s="29" t="b">
        <f t="shared" si="20"/>
        <v>0</v>
      </c>
      <c r="W166" s="29" t="str">
        <f t="shared" si="22"/>
        <v>INCLUDE</v>
      </c>
      <c r="X166" s="30"/>
    </row>
    <row r="167" spans="1:24" s="13" customFormat="1" ht="240" x14ac:dyDescent="0.25">
      <c r="A167" s="28">
        <v>183</v>
      </c>
      <c r="B167" s="38" t="s">
        <v>174</v>
      </c>
      <c r="C167" s="38" t="s">
        <v>345</v>
      </c>
      <c r="D167" s="30">
        <v>1</v>
      </c>
      <c r="E167" s="28" t="s">
        <v>357</v>
      </c>
      <c r="F167" s="29" t="s">
        <v>357</v>
      </c>
      <c r="G167" s="29" t="s">
        <v>357</v>
      </c>
      <c r="H167" s="29" t="s">
        <v>357</v>
      </c>
      <c r="I167" s="29" t="s">
        <v>358</v>
      </c>
      <c r="J167" s="29" t="s">
        <v>360</v>
      </c>
      <c r="K167" s="38" t="s">
        <v>521</v>
      </c>
      <c r="L167" s="30"/>
      <c r="M167" s="37" t="s">
        <v>357</v>
      </c>
      <c r="N167" s="38" t="s">
        <v>357</v>
      </c>
      <c r="O167" s="38" t="s">
        <v>357</v>
      </c>
      <c r="P167" s="38" t="s">
        <v>357</v>
      </c>
      <c r="Q167" s="38" t="s">
        <v>560</v>
      </c>
      <c r="R167" s="38" t="str">
        <f t="shared" si="23"/>
        <v>EXCLUDE</v>
      </c>
      <c r="S167" s="38" t="s">
        <v>617</v>
      </c>
      <c r="T167" s="30"/>
      <c r="U167" s="28" t="str">
        <f t="shared" si="19"/>
        <v/>
      </c>
      <c r="V167" s="29" t="b">
        <f t="shared" si="20"/>
        <v>0</v>
      </c>
      <c r="W167" s="29" t="str">
        <f t="shared" si="22"/>
        <v>EXCLUDE</v>
      </c>
      <c r="X167" s="30"/>
    </row>
    <row r="168" spans="1:24" s="13" customFormat="1" ht="210" x14ac:dyDescent="0.25">
      <c r="A168" s="28">
        <v>196</v>
      </c>
      <c r="B168" s="38" t="s">
        <v>175</v>
      </c>
      <c r="C168" s="38" t="s">
        <v>346</v>
      </c>
      <c r="D168" s="30">
        <v>1</v>
      </c>
      <c r="E168" s="28" t="s">
        <v>357</v>
      </c>
      <c r="F168" s="29" t="s">
        <v>357</v>
      </c>
      <c r="G168" s="29" t="s">
        <v>357</v>
      </c>
      <c r="H168" s="29" t="s">
        <v>357</v>
      </c>
      <c r="I168" s="29" t="s">
        <v>357</v>
      </c>
      <c r="J168" s="29" t="s">
        <v>359</v>
      </c>
      <c r="K168" s="38" t="s">
        <v>503</v>
      </c>
      <c r="L168" s="30"/>
      <c r="M168" s="37" t="s">
        <v>357</v>
      </c>
      <c r="N168" s="38" t="s">
        <v>357</v>
      </c>
      <c r="O168" s="38" t="s">
        <v>357</v>
      </c>
      <c r="P168" s="38" t="s">
        <v>357</v>
      </c>
      <c r="Q168" s="38" t="s">
        <v>542</v>
      </c>
      <c r="R168" s="38" t="str">
        <f t="shared" si="23"/>
        <v>INCLUDE</v>
      </c>
      <c r="S168" s="38"/>
      <c r="T168" s="30"/>
      <c r="U168" s="28" t="str">
        <f t="shared" si="19"/>
        <v/>
      </c>
      <c r="V168" s="29" t="b">
        <f t="shared" si="20"/>
        <v>0</v>
      </c>
      <c r="W168" s="29" t="str">
        <f t="shared" si="22"/>
        <v>INCLUDE</v>
      </c>
      <c r="X168" s="30"/>
    </row>
    <row r="169" spans="1:24" s="13" customFormat="1" ht="165" x14ac:dyDescent="0.25">
      <c r="A169" s="28">
        <v>198</v>
      </c>
      <c r="B169" s="38" t="s">
        <v>176</v>
      </c>
      <c r="C169" s="38" t="s">
        <v>347</v>
      </c>
      <c r="D169" s="30">
        <v>1</v>
      </c>
      <c r="E169" s="28" t="s">
        <v>357</v>
      </c>
      <c r="F169" s="29" t="s">
        <v>357</v>
      </c>
      <c r="G169" s="29" t="s">
        <v>357</v>
      </c>
      <c r="H169" s="29" t="s">
        <v>357</v>
      </c>
      <c r="I169" s="29" t="s">
        <v>357</v>
      </c>
      <c r="J169" s="29" t="s">
        <v>359</v>
      </c>
      <c r="K169" s="38" t="s">
        <v>504</v>
      </c>
      <c r="L169" s="30"/>
      <c r="M169" s="37" t="s">
        <v>357</v>
      </c>
      <c r="N169" s="38" t="s">
        <v>357</v>
      </c>
      <c r="O169" s="38" t="s">
        <v>357</v>
      </c>
      <c r="P169" s="38" t="s">
        <v>357</v>
      </c>
      <c r="Q169" s="38" t="s">
        <v>542</v>
      </c>
      <c r="R169" s="38" t="str">
        <f t="shared" si="23"/>
        <v>INCLUDE</v>
      </c>
      <c r="S169" s="38" t="s">
        <v>618</v>
      </c>
      <c r="T169" s="30"/>
      <c r="U169" s="28" t="str">
        <f t="shared" si="19"/>
        <v/>
      </c>
      <c r="V169" s="29" t="b">
        <f t="shared" si="20"/>
        <v>0</v>
      </c>
      <c r="W169" s="29" t="str">
        <f t="shared" si="22"/>
        <v>INCLUDE</v>
      </c>
      <c r="X169" s="30"/>
    </row>
    <row r="170" spans="1:24" s="13" customFormat="1" ht="165" x14ac:dyDescent="0.25">
      <c r="A170" s="28">
        <v>205</v>
      </c>
      <c r="B170" s="38" t="s">
        <v>177</v>
      </c>
      <c r="C170" s="38" t="s">
        <v>348</v>
      </c>
      <c r="D170" s="30">
        <v>1</v>
      </c>
      <c r="E170" s="28" t="s">
        <v>357</v>
      </c>
      <c r="F170" s="29" t="s">
        <v>357</v>
      </c>
      <c r="G170" s="29" t="s">
        <v>357</v>
      </c>
      <c r="H170" s="29" t="s">
        <v>357</v>
      </c>
      <c r="I170" s="29" t="s">
        <v>357</v>
      </c>
      <c r="J170" s="29" t="s">
        <v>359</v>
      </c>
      <c r="K170" s="38" t="s">
        <v>505</v>
      </c>
      <c r="L170" s="30"/>
      <c r="M170" s="37" t="s">
        <v>357</v>
      </c>
      <c r="N170" s="38" t="s">
        <v>357</v>
      </c>
      <c r="O170" s="38" t="s">
        <v>357</v>
      </c>
      <c r="P170" s="38" t="s">
        <v>357</v>
      </c>
      <c r="Q170" s="38" t="s">
        <v>542</v>
      </c>
      <c r="R170" s="38" t="str">
        <f t="shared" si="23"/>
        <v>INCLUDE</v>
      </c>
      <c r="S170" s="38"/>
      <c r="T170" s="30"/>
      <c r="U170" s="28" t="str">
        <f t="shared" si="19"/>
        <v/>
      </c>
      <c r="V170" s="29" t="b">
        <f t="shared" si="20"/>
        <v>0</v>
      </c>
      <c r="W170" s="29" t="str">
        <f t="shared" si="22"/>
        <v>INCLUDE</v>
      </c>
      <c r="X170" s="30"/>
    </row>
    <row r="171" spans="1:24" s="13" customFormat="1" ht="135" x14ac:dyDescent="0.25">
      <c r="A171" s="28">
        <v>224</v>
      </c>
      <c r="B171" s="38" t="s">
        <v>178</v>
      </c>
      <c r="C171" s="38" t="s">
        <v>349</v>
      </c>
      <c r="D171" s="30">
        <v>1</v>
      </c>
      <c r="E171" s="28" t="s">
        <v>357</v>
      </c>
      <c r="F171" s="29" t="s">
        <v>357</v>
      </c>
      <c r="G171" s="29" t="s">
        <v>357</v>
      </c>
      <c r="H171" s="29" t="s">
        <v>357</v>
      </c>
      <c r="I171" s="29" t="s">
        <v>357</v>
      </c>
      <c r="J171" s="29" t="s">
        <v>359</v>
      </c>
      <c r="K171" s="38" t="s">
        <v>506</v>
      </c>
      <c r="L171" s="30"/>
      <c r="M171" s="37" t="s">
        <v>357</v>
      </c>
      <c r="N171" s="38" t="s">
        <v>357</v>
      </c>
      <c r="O171" s="38" t="s">
        <v>357</v>
      </c>
      <c r="P171" s="38" t="s">
        <v>357</v>
      </c>
      <c r="Q171" s="38" t="s">
        <v>542</v>
      </c>
      <c r="R171" s="38" t="str">
        <f t="shared" si="23"/>
        <v>INCLUDE</v>
      </c>
      <c r="S171" s="38"/>
      <c r="T171" s="30"/>
      <c r="U171" s="28" t="str">
        <f t="shared" si="19"/>
        <v/>
      </c>
      <c r="V171" s="29" t="b">
        <f t="shared" si="20"/>
        <v>0</v>
      </c>
      <c r="W171" s="29" t="str">
        <f t="shared" si="22"/>
        <v>INCLUDE</v>
      </c>
      <c r="X171" s="30"/>
    </row>
    <row r="172" spans="1:24" s="13" customFormat="1" ht="135" x14ac:dyDescent="0.25">
      <c r="A172" s="28">
        <v>244</v>
      </c>
      <c r="B172" s="38" t="s">
        <v>179</v>
      </c>
      <c r="C172" s="38" t="s">
        <v>350</v>
      </c>
      <c r="D172" s="30">
        <v>1</v>
      </c>
      <c r="E172" s="28" t="s">
        <v>357</v>
      </c>
      <c r="F172" s="29" t="s">
        <v>357</v>
      </c>
      <c r="G172" s="29" t="s">
        <v>357</v>
      </c>
      <c r="H172" s="29" t="s">
        <v>357</v>
      </c>
      <c r="I172" s="29" t="s">
        <v>357</v>
      </c>
      <c r="J172" s="29" t="s">
        <v>359</v>
      </c>
      <c r="K172" s="38" t="s">
        <v>507</v>
      </c>
      <c r="L172" s="30"/>
      <c r="M172" s="37" t="s">
        <v>357</v>
      </c>
      <c r="N172" s="38" t="s">
        <v>357</v>
      </c>
      <c r="O172" s="38" t="s">
        <v>357</v>
      </c>
      <c r="P172" s="38" t="s">
        <v>357</v>
      </c>
      <c r="Q172" s="38" t="s">
        <v>542</v>
      </c>
      <c r="R172" s="38" t="str">
        <f t="shared" si="23"/>
        <v>INCLUDE</v>
      </c>
      <c r="S172" s="38" t="s">
        <v>619</v>
      </c>
      <c r="T172" s="30"/>
      <c r="U172" s="28" t="str">
        <f t="shared" si="19"/>
        <v/>
      </c>
      <c r="V172" s="29" t="b">
        <f t="shared" si="20"/>
        <v>0</v>
      </c>
      <c r="W172" s="29" t="str">
        <f t="shared" si="22"/>
        <v>INCLUDE</v>
      </c>
      <c r="X172" s="30"/>
    </row>
    <row r="173" spans="1:24" s="13" customFormat="1" ht="195" x14ac:dyDescent="0.25">
      <c r="A173" s="28">
        <v>264</v>
      </c>
      <c r="B173" s="38" t="s">
        <v>180</v>
      </c>
      <c r="C173" s="38" t="s">
        <v>351</v>
      </c>
      <c r="D173" s="30">
        <v>1</v>
      </c>
      <c r="E173" s="28" t="s">
        <v>357</v>
      </c>
      <c r="F173" s="29" t="s">
        <v>357</v>
      </c>
      <c r="G173" s="29" t="s">
        <v>357</v>
      </c>
      <c r="H173" s="29" t="s">
        <v>357</v>
      </c>
      <c r="I173" s="29" t="s">
        <v>357</v>
      </c>
      <c r="J173" s="29" t="s">
        <v>359</v>
      </c>
      <c r="K173" s="38" t="s">
        <v>508</v>
      </c>
      <c r="L173" s="30"/>
      <c r="M173" s="37" t="s">
        <v>357</v>
      </c>
      <c r="N173" s="38" t="s">
        <v>357</v>
      </c>
      <c r="O173" s="38" t="s">
        <v>357</v>
      </c>
      <c r="P173" s="38" t="s">
        <v>357</v>
      </c>
      <c r="Q173" s="38" t="s">
        <v>542</v>
      </c>
      <c r="R173" s="38" t="str">
        <f t="shared" si="23"/>
        <v>INCLUDE</v>
      </c>
      <c r="S173" s="38"/>
      <c r="T173" s="30"/>
      <c r="U173" s="28" t="str">
        <f t="shared" si="19"/>
        <v/>
      </c>
      <c r="V173" s="29" t="b">
        <f t="shared" si="20"/>
        <v>0</v>
      </c>
      <c r="W173" s="29" t="str">
        <f t="shared" si="22"/>
        <v>INCLUDE</v>
      </c>
      <c r="X173" s="30"/>
    </row>
    <row r="174" spans="1:24" s="13" customFormat="1" ht="255" x14ac:dyDescent="0.25">
      <c r="A174" s="28">
        <v>277</v>
      </c>
      <c r="B174" s="38" t="s">
        <v>181</v>
      </c>
      <c r="C174" s="38" t="s">
        <v>352</v>
      </c>
      <c r="D174" s="30">
        <v>1</v>
      </c>
      <c r="E174" s="28" t="s">
        <v>357</v>
      </c>
      <c r="F174" s="29" t="s">
        <v>357</v>
      </c>
      <c r="G174" s="29" t="s">
        <v>357</v>
      </c>
      <c r="H174" s="29" t="s">
        <v>357</v>
      </c>
      <c r="I174" s="29" t="s">
        <v>357</v>
      </c>
      <c r="J174" s="29" t="s">
        <v>359</v>
      </c>
      <c r="K174" s="38" t="s">
        <v>509</v>
      </c>
      <c r="L174" s="30"/>
      <c r="M174" s="37" t="s">
        <v>357</v>
      </c>
      <c r="N174" s="38" t="s">
        <v>357</v>
      </c>
      <c r="O174" s="38" t="s">
        <v>357</v>
      </c>
      <c r="P174" s="38" t="s">
        <v>357</v>
      </c>
      <c r="Q174" s="38" t="s">
        <v>542</v>
      </c>
      <c r="R174" s="38" t="str">
        <f t="shared" si="23"/>
        <v>INCLUDE</v>
      </c>
      <c r="S174" s="38"/>
      <c r="T174" s="30"/>
      <c r="U174" s="28" t="str">
        <f t="shared" si="19"/>
        <v/>
      </c>
      <c r="V174" s="29" t="b">
        <f t="shared" si="20"/>
        <v>0</v>
      </c>
      <c r="W174" s="29" t="str">
        <f t="shared" si="22"/>
        <v>INCLUDE</v>
      </c>
      <c r="X174" s="30"/>
    </row>
    <row r="175" spans="1:24" s="13" customFormat="1" ht="195" x14ac:dyDescent="0.25">
      <c r="A175" s="28">
        <v>306</v>
      </c>
      <c r="B175" s="38" t="s">
        <v>182</v>
      </c>
      <c r="C175" s="38" t="s">
        <v>353</v>
      </c>
      <c r="D175" s="30">
        <v>1</v>
      </c>
      <c r="E175" s="28" t="s">
        <v>357</v>
      </c>
      <c r="F175" s="29" t="s">
        <v>357</v>
      </c>
      <c r="G175" s="29" t="s">
        <v>357</v>
      </c>
      <c r="H175" s="29" t="s">
        <v>357</v>
      </c>
      <c r="I175" s="29" t="s">
        <v>357</v>
      </c>
      <c r="J175" s="29" t="s">
        <v>359</v>
      </c>
      <c r="K175" s="38" t="s">
        <v>510</v>
      </c>
      <c r="L175" s="30"/>
      <c r="M175" s="37" t="s">
        <v>357</v>
      </c>
      <c r="N175" s="38" t="s">
        <v>357</v>
      </c>
      <c r="O175" s="38" t="s">
        <v>357</v>
      </c>
      <c r="P175" s="38" t="s">
        <v>357</v>
      </c>
      <c r="Q175" s="38" t="s">
        <v>542</v>
      </c>
      <c r="R175" s="38" t="str">
        <f t="shared" si="23"/>
        <v>INCLUDE</v>
      </c>
      <c r="S175" s="38" t="s">
        <v>620</v>
      </c>
      <c r="T175" s="30"/>
      <c r="U175" s="28" t="str">
        <f t="shared" si="19"/>
        <v/>
      </c>
      <c r="V175" s="29" t="b">
        <f t="shared" si="20"/>
        <v>0</v>
      </c>
      <c r="W175" s="29" t="str">
        <f t="shared" si="22"/>
        <v>INCLUDE</v>
      </c>
      <c r="X175" s="30"/>
    </row>
    <row r="176" spans="1:24" s="13" customFormat="1" ht="225" x14ac:dyDescent="0.25">
      <c r="A176" s="28">
        <v>307</v>
      </c>
      <c r="B176" s="38" t="s">
        <v>183</v>
      </c>
      <c r="C176" s="38" t="s">
        <v>354</v>
      </c>
      <c r="D176" s="30">
        <v>1</v>
      </c>
      <c r="E176" s="28" t="s">
        <v>357</v>
      </c>
      <c r="F176" s="29" t="s">
        <v>357</v>
      </c>
      <c r="G176" s="29" t="s">
        <v>357</v>
      </c>
      <c r="H176" s="29" t="s">
        <v>357</v>
      </c>
      <c r="I176" s="29" t="s">
        <v>357</v>
      </c>
      <c r="J176" s="29" t="s">
        <v>359</v>
      </c>
      <c r="K176" s="38" t="s">
        <v>511</v>
      </c>
      <c r="L176" s="30"/>
      <c r="M176" s="37" t="s">
        <v>357</v>
      </c>
      <c r="N176" s="38" t="s">
        <v>357</v>
      </c>
      <c r="O176" s="38" t="s">
        <v>357</v>
      </c>
      <c r="P176" s="38" t="s">
        <v>357</v>
      </c>
      <c r="Q176" s="38" t="s">
        <v>542</v>
      </c>
      <c r="R176" s="38" t="str">
        <f t="shared" si="23"/>
        <v>INCLUDE</v>
      </c>
      <c r="S176" s="38"/>
      <c r="T176" s="30"/>
      <c r="U176" s="28" t="str">
        <f t="shared" si="19"/>
        <v/>
      </c>
      <c r="V176" s="29" t="b">
        <f t="shared" si="20"/>
        <v>0</v>
      </c>
      <c r="W176" s="29" t="str">
        <f t="shared" si="22"/>
        <v>INCLUDE</v>
      </c>
      <c r="X176" s="30"/>
    </row>
    <row r="177" spans="1:24" s="13" customFormat="1" ht="195" x14ac:dyDescent="0.25">
      <c r="A177" s="28">
        <v>315</v>
      </c>
      <c r="B177" s="38" t="s">
        <v>184</v>
      </c>
      <c r="C177" s="38" t="s">
        <v>355</v>
      </c>
      <c r="D177" s="30">
        <v>1</v>
      </c>
      <c r="E177" s="28" t="s">
        <v>357</v>
      </c>
      <c r="F177" s="29" t="s">
        <v>357</v>
      </c>
      <c r="G177" s="29" t="s">
        <v>357</v>
      </c>
      <c r="H177" s="29" t="s">
        <v>357</v>
      </c>
      <c r="I177" s="29" t="s">
        <v>357</v>
      </c>
      <c r="J177" s="29" t="s">
        <v>359</v>
      </c>
      <c r="K177" s="38" t="s">
        <v>512</v>
      </c>
      <c r="L177" s="30"/>
      <c r="M177" s="37" t="s">
        <v>357</v>
      </c>
      <c r="N177" s="38" t="s">
        <v>357</v>
      </c>
      <c r="O177" s="38" t="s">
        <v>357</v>
      </c>
      <c r="P177" s="38" t="s">
        <v>357</v>
      </c>
      <c r="Q177" s="38" t="s">
        <v>542</v>
      </c>
      <c r="R177" s="38" t="str">
        <f t="shared" si="23"/>
        <v>INCLUDE</v>
      </c>
      <c r="S177" s="38"/>
      <c r="T177" s="30"/>
      <c r="U177" s="28" t="str">
        <f t="shared" si="19"/>
        <v/>
      </c>
      <c r="V177" s="29" t="b">
        <f t="shared" si="20"/>
        <v>0</v>
      </c>
      <c r="W177" s="29" t="str">
        <f t="shared" si="22"/>
        <v>INCLUDE</v>
      </c>
      <c r="X177" s="30"/>
    </row>
    <row r="178" spans="1:24" s="13" customFormat="1" ht="180.75" thickBot="1" x14ac:dyDescent="0.3">
      <c r="A178" s="32">
        <v>319</v>
      </c>
      <c r="B178" s="40" t="s">
        <v>185</v>
      </c>
      <c r="C178" s="40" t="s">
        <v>356</v>
      </c>
      <c r="D178" s="34">
        <v>1</v>
      </c>
      <c r="E178" s="32" t="s">
        <v>357</v>
      </c>
      <c r="F178" s="33" t="s">
        <v>357</v>
      </c>
      <c r="G178" s="33" t="s">
        <v>357</v>
      </c>
      <c r="H178" s="33" t="s">
        <v>357</v>
      </c>
      <c r="I178" s="33" t="s">
        <v>357</v>
      </c>
      <c r="J178" s="33" t="s">
        <v>359</v>
      </c>
      <c r="K178" s="40" t="s">
        <v>513</v>
      </c>
      <c r="L178" s="34"/>
      <c r="M178" s="39" t="s">
        <v>357</v>
      </c>
      <c r="N178" s="40" t="s">
        <v>357</v>
      </c>
      <c r="O178" s="40" t="s">
        <v>357</v>
      </c>
      <c r="P178" s="40" t="s">
        <v>357</v>
      </c>
      <c r="Q178" s="40" t="s">
        <v>542</v>
      </c>
      <c r="R178" s="40" t="str">
        <f t="shared" si="23"/>
        <v>INCLUDE</v>
      </c>
      <c r="S178" s="40"/>
      <c r="T178" s="34"/>
      <c r="U178" s="32" t="str">
        <f t="shared" si="19"/>
        <v/>
      </c>
      <c r="V178" s="33" t="b">
        <f t="shared" si="20"/>
        <v>0</v>
      </c>
      <c r="W178" s="33" t="str">
        <f t="shared" si="22"/>
        <v>INCLUDE</v>
      </c>
      <c r="X178" s="34"/>
    </row>
    <row r="181" spans="1:24" ht="28.5" x14ac:dyDescent="0.45">
      <c r="B181" s="11" t="s">
        <v>365</v>
      </c>
      <c r="C181" s="6" cm="1">
        <f t="array" ref="C181">SUMPRODUCT(--(TRIM(C3:C179)=""))</f>
        <v>6</v>
      </c>
      <c r="D181" s="14" t="s">
        <v>366</v>
      </c>
      <c r="E181" s="14"/>
    </row>
    <row r="182" spans="1:24" ht="28.5" x14ac:dyDescent="0.45">
      <c r="B182" s="7" t="s">
        <v>367</v>
      </c>
      <c r="C182" s="8" cm="1">
        <f t="array" ref="C182">SUMPRODUCT(--(TRIM(W3:W179)="INCLUDE"))</f>
        <v>157</v>
      </c>
      <c r="D182" s="15">
        <f>SUM(C182:C183)</f>
        <v>176</v>
      </c>
      <c r="E182" s="16"/>
    </row>
    <row r="183" spans="1:24" ht="28.5" x14ac:dyDescent="0.45">
      <c r="B183" s="4" t="s">
        <v>368</v>
      </c>
      <c r="C183" s="9" cm="1">
        <f t="array" ref="C183">SUMPRODUCT(--(TRIM(W3:W179)="EXCLUDE"))</f>
        <v>19</v>
      </c>
      <c r="D183" s="17"/>
      <c r="E183" s="18"/>
    </row>
    <row r="184" spans="1:24" ht="28.5" x14ac:dyDescent="0.45">
      <c r="B184" s="10" t="s">
        <v>540</v>
      </c>
      <c r="C184" s="5">
        <f>COUNTIF(U:U,1)</f>
        <v>27</v>
      </c>
      <c r="D184" s="17"/>
      <c r="E184" s="18"/>
    </row>
  </sheetData>
  <autoFilter ref="A2:Y178" xr:uid="{00000000-0001-0000-0000-000000000000}"/>
  <mergeCells count="5">
    <mergeCell ref="U1:X1"/>
    <mergeCell ref="D181:E181"/>
    <mergeCell ref="D182:E184"/>
    <mergeCell ref="E1:L1"/>
    <mergeCell ref="M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CAMILO ESPAÑA LOPERA</cp:lastModifiedBy>
  <dcterms:created xsi:type="dcterms:W3CDTF">2026-07-03T09:30:57Z</dcterms:created>
  <dcterms:modified xsi:type="dcterms:W3CDTF">2026-07-13T08:08:07Z</dcterms:modified>
</cp:coreProperties>
</file>